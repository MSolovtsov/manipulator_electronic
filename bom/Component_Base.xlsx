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isha/Documents/BMSTU/Master/Manipulator/electronics/bom/"/>
    </mc:Choice>
  </mc:AlternateContent>
  <xr:revisionPtr revIDLastSave="0" documentId="13_ncr:1_{42632B7E-AEA9-9B48-B585-29C379C9D144}" xr6:coauthVersionLast="47" xr6:coauthVersionMax="47" xr10:uidLastSave="{00000000-0000-0000-0000-000000000000}"/>
  <bookViews>
    <workbookView xWindow="0" yWindow="660" windowWidth="30240" windowHeight="17280" tabRatio="500" xr2:uid="{00000000-000D-0000-FFFF-FFFF00000000}"/>
  </bookViews>
  <sheets>
    <sheet name="Компоненты" sheetId="1" r:id="rId1"/>
    <sheet name="Модули" sheetId="2" r:id="rId2"/>
    <sheet name="Отклонено" sheetId="3" r:id="rId3"/>
    <sheet name="Сводка" sheetId="4" r:id="rId4"/>
    <sheet name="Справочники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4" l="1"/>
  <c r="B32" i="4"/>
  <c r="B30" i="4"/>
  <c r="B29" i="4"/>
  <c r="B28" i="4"/>
  <c r="B25" i="4"/>
  <c r="B24" i="4"/>
  <c r="B23" i="4"/>
  <c r="D18" i="4"/>
  <c r="C18" i="4"/>
  <c r="B18" i="4"/>
  <c r="D17" i="4"/>
  <c r="B17" i="4"/>
  <c r="D16" i="4"/>
  <c r="C16" i="4"/>
  <c r="B16" i="4"/>
  <c r="D15" i="4"/>
  <c r="C15" i="4"/>
  <c r="B15" i="4"/>
  <c r="D14" i="4"/>
  <c r="C14" i="4"/>
  <c r="B14" i="4"/>
  <c r="D13" i="4"/>
  <c r="B13" i="4"/>
  <c r="D12" i="4"/>
  <c r="C12" i="4"/>
  <c r="B12" i="4"/>
  <c r="D11" i="4"/>
  <c r="B11" i="4"/>
  <c r="B6" i="4"/>
  <c r="E5" i="4"/>
  <c r="D5" i="4"/>
  <c r="C5" i="4"/>
  <c r="B5" i="4"/>
  <c r="B4" i="4"/>
  <c r="H9" i="2"/>
  <c r="H8" i="2"/>
  <c r="H7" i="2"/>
  <c r="H6" i="2"/>
  <c r="H5" i="2"/>
  <c r="H4" i="2"/>
  <c r="H3" i="2"/>
  <c r="H2" i="2"/>
  <c r="L63" i="1"/>
  <c r="R63" i="1" s="1"/>
  <c r="S63" i="1" s="1"/>
  <c r="L62" i="1"/>
  <c r="R62" i="1" s="1"/>
  <c r="S62" i="1" s="1"/>
  <c r="L61" i="1"/>
  <c r="R61" i="1" s="1"/>
  <c r="S61" i="1" s="1"/>
  <c r="L60" i="1"/>
  <c r="R60" i="1" s="1"/>
  <c r="S60" i="1" s="1"/>
  <c r="L59" i="1"/>
  <c r="R59" i="1" s="1"/>
  <c r="S59" i="1" s="1"/>
  <c r="L58" i="1"/>
  <c r="R58" i="1" s="1"/>
  <c r="S58" i="1" s="1"/>
  <c r="L57" i="1"/>
  <c r="R57" i="1" s="1"/>
  <c r="S57" i="1" s="1"/>
  <c r="L56" i="1"/>
  <c r="R56" i="1" s="1"/>
  <c r="S56" i="1" s="1"/>
  <c r="L55" i="1"/>
  <c r="R55" i="1" s="1"/>
  <c r="S55" i="1" s="1"/>
  <c r="L54" i="1"/>
  <c r="R54" i="1" s="1"/>
  <c r="S54" i="1" s="1"/>
  <c r="L53" i="1"/>
  <c r="R53" i="1" s="1"/>
  <c r="S53" i="1" s="1"/>
  <c r="L52" i="1"/>
  <c r="R52" i="1" s="1"/>
  <c r="S52" i="1" s="1"/>
  <c r="L51" i="1"/>
  <c r="R51" i="1" s="1"/>
  <c r="S51" i="1" s="1"/>
  <c r="L50" i="1"/>
  <c r="R50" i="1" s="1"/>
  <c r="S50" i="1" s="1"/>
  <c r="L49" i="1"/>
  <c r="R49" i="1" s="1"/>
  <c r="S49" i="1" s="1"/>
  <c r="L48" i="1"/>
  <c r="R48" i="1" s="1"/>
  <c r="S48" i="1" s="1"/>
  <c r="L47" i="1"/>
  <c r="R47" i="1" s="1"/>
  <c r="S47" i="1" s="1"/>
  <c r="L46" i="1"/>
  <c r="R46" i="1" s="1"/>
  <c r="S46" i="1" s="1"/>
  <c r="L45" i="1"/>
  <c r="R45" i="1" s="1"/>
  <c r="S45" i="1" s="1"/>
  <c r="L44" i="1"/>
  <c r="L43" i="1"/>
  <c r="L42" i="1"/>
  <c r="R42" i="1" s="1"/>
  <c r="S42" i="1" s="1"/>
  <c r="L41" i="1"/>
  <c r="R41" i="1" s="1"/>
  <c r="S41" i="1" s="1"/>
  <c r="L40" i="1"/>
  <c r="R40" i="1" s="1"/>
  <c r="S40" i="1" s="1"/>
  <c r="E16" i="4" s="1"/>
  <c r="L39" i="1"/>
  <c r="R39" i="1" s="1"/>
  <c r="S39" i="1" s="1"/>
  <c r="L38" i="1"/>
  <c r="R38" i="1" s="1"/>
  <c r="S38" i="1" s="1"/>
  <c r="L37" i="1"/>
  <c r="R37" i="1" s="1"/>
  <c r="S37" i="1" s="1"/>
  <c r="L36" i="1"/>
  <c r="R36" i="1" s="1"/>
  <c r="S36" i="1" s="1"/>
  <c r="L35" i="1"/>
  <c r="R35" i="1" s="1"/>
  <c r="S35" i="1" s="1"/>
  <c r="R34" i="1"/>
  <c r="S34" i="1" s="1"/>
  <c r="L34" i="1"/>
  <c r="R33" i="1"/>
  <c r="S33" i="1" s="1"/>
  <c r="L33" i="1"/>
  <c r="L32" i="1"/>
  <c r="L31" i="1"/>
  <c r="R31" i="1" s="1"/>
  <c r="S31" i="1" s="1"/>
  <c r="L30" i="1"/>
  <c r="R30" i="1" s="1"/>
  <c r="S30" i="1" s="1"/>
  <c r="R29" i="1"/>
  <c r="S29" i="1" s="1"/>
  <c r="L29" i="1"/>
  <c r="L28" i="1"/>
  <c r="L27" i="1"/>
  <c r="R27" i="1" s="1"/>
  <c r="S27" i="1" s="1"/>
  <c r="L26" i="1"/>
  <c r="R26" i="1" s="1"/>
  <c r="S26" i="1" s="1"/>
  <c r="L25" i="1"/>
  <c r="R25" i="1" s="1"/>
  <c r="S25" i="1" s="1"/>
  <c r="L24" i="1"/>
  <c r="R24" i="1" s="1"/>
  <c r="S24" i="1" s="1"/>
  <c r="L23" i="1"/>
  <c r="R23" i="1" s="1"/>
  <c r="S23" i="1" s="1"/>
  <c r="L22" i="1"/>
  <c r="R22" i="1" s="1"/>
  <c r="S22" i="1" s="1"/>
  <c r="R21" i="1"/>
  <c r="S21" i="1" s="1"/>
  <c r="L21" i="1"/>
  <c r="C30" i="4" s="1"/>
  <c r="L20" i="1"/>
  <c r="G6" i="2" s="1"/>
  <c r="L19" i="1"/>
  <c r="R19" i="1" s="1"/>
  <c r="S19" i="1" s="1"/>
  <c r="L18" i="1"/>
  <c r="R18" i="1" s="1"/>
  <c r="S18" i="1" s="1"/>
  <c r="L17" i="1"/>
  <c r="R17" i="1" s="1"/>
  <c r="S17" i="1" s="1"/>
  <c r="L16" i="1"/>
  <c r="R16" i="1" s="1"/>
  <c r="S16" i="1" s="1"/>
  <c r="L15" i="1"/>
  <c r="R15" i="1" s="1"/>
  <c r="S15" i="1" s="1"/>
  <c r="L14" i="1"/>
  <c r="L13" i="1"/>
  <c r="R13" i="1" s="1"/>
  <c r="S13" i="1" s="1"/>
  <c r="L12" i="1"/>
  <c r="L11" i="1"/>
  <c r="R11" i="1" s="1"/>
  <c r="S11" i="1" s="1"/>
  <c r="L10" i="1"/>
  <c r="R10" i="1" s="1"/>
  <c r="S10" i="1" s="1"/>
  <c r="L9" i="1"/>
  <c r="R9" i="1" s="1"/>
  <c r="S9" i="1" s="1"/>
  <c r="L8" i="1"/>
  <c r="R8" i="1" s="1"/>
  <c r="S8" i="1" s="1"/>
  <c r="L7" i="1"/>
  <c r="R7" i="1" s="1"/>
  <c r="S7" i="1" s="1"/>
  <c r="L6" i="1"/>
  <c r="L5" i="1"/>
  <c r="R5" i="1" s="1"/>
  <c r="S5" i="1" s="1"/>
  <c r="L4" i="1"/>
  <c r="R4" i="1" s="1"/>
  <c r="S4" i="1" s="1"/>
  <c r="L3" i="1"/>
  <c r="R3" i="1" s="1"/>
  <c r="S3" i="1" s="1"/>
  <c r="L2" i="1"/>
  <c r="L65" i="1"/>
  <c r="R65" i="1" s="1"/>
  <c r="S65" i="1" s="1"/>
  <c r="L64" i="1"/>
  <c r="R64" i="1" s="1"/>
  <c r="S64" i="1" s="1"/>
  <c r="E18" i="4" l="1"/>
  <c r="R43" i="1"/>
  <c r="C17" i="4"/>
  <c r="D19" i="4"/>
  <c r="R32" i="1"/>
  <c r="G8" i="2"/>
  <c r="R28" i="1"/>
  <c r="G7" i="2"/>
  <c r="B7" i="4"/>
  <c r="B19" i="4"/>
  <c r="E14" i="4"/>
  <c r="R20" i="1"/>
  <c r="C13" i="4"/>
  <c r="R14" i="1"/>
  <c r="G5" i="2"/>
  <c r="R12" i="1"/>
  <c r="G4" i="2"/>
  <c r="R6" i="1"/>
  <c r="G3" i="2"/>
  <c r="C28" i="4"/>
  <c r="G2" i="2"/>
  <c r="C29" i="4"/>
  <c r="R44" i="1"/>
  <c r="G9" i="2"/>
  <c r="C6" i="4"/>
  <c r="C4" i="4"/>
  <c r="R2" i="1"/>
  <c r="C11" i="4"/>
  <c r="I9" i="2" l="1"/>
  <c r="S43" i="1"/>
  <c r="S28" i="1"/>
  <c r="I7" i="2"/>
  <c r="S32" i="1"/>
  <c r="I8" i="2"/>
  <c r="C19" i="4"/>
  <c r="S20" i="1"/>
  <c r="I6" i="2"/>
  <c r="S14" i="1"/>
  <c r="I5" i="2"/>
  <c r="S12" i="1"/>
  <c r="E12" i="4" s="1"/>
  <c r="I4" i="2"/>
  <c r="S6" i="1"/>
  <c r="I3" i="2"/>
  <c r="C7" i="4"/>
  <c r="S2" i="1"/>
  <c r="I2" i="2"/>
  <c r="D4" i="4"/>
  <c r="S44" i="1"/>
  <c r="D6" i="4"/>
  <c r="E13" i="4" l="1"/>
  <c r="E17" i="4"/>
  <c r="E6" i="4"/>
  <c r="E15" i="4"/>
  <c r="E11" i="4"/>
  <c r="E4" i="4"/>
  <c r="D7" i="4"/>
  <c r="E19" i="4" l="1"/>
  <c r="E7" i="4"/>
</calcChain>
</file>

<file path=xl/sharedStrings.xml><?xml version="1.0" encoding="utf-8"?>
<sst xmlns="http://schemas.openxmlformats.org/spreadsheetml/2006/main" count="1071" uniqueCount="465">
  <si>
    <t>ID</t>
  </si>
  <si>
    <t>Узел</t>
  </si>
  <si>
    <t>Функция</t>
  </si>
  <si>
    <t>Тип позиции</t>
  </si>
  <si>
    <t>Входит в модуль (ID)</t>
  </si>
  <si>
    <t>Название</t>
  </si>
  <si>
    <t>Определённость названия</t>
  </si>
  <si>
    <t>Статус решения</t>
  </si>
  <si>
    <t>№ спорного пункта</t>
  </si>
  <si>
    <t>Кол-во на канал</t>
  </si>
  <si>
    <t>Число каналов</t>
  </si>
  <si>
    <t>Всего</t>
  </si>
  <si>
    <t>Сторона</t>
  </si>
  <si>
    <t>Размещение</t>
  </si>
  <si>
    <t>Ссылка</t>
  </si>
  <si>
    <t>Цена за шт., ₽</t>
  </si>
  <si>
    <t>Есть, шт.</t>
  </si>
  <si>
    <t>Докупить, шт.</t>
  </si>
  <si>
    <t>Стоимость докупки, ₽</t>
  </si>
  <si>
    <t>Аккуратно!</t>
  </si>
  <si>
    <t>Источник</t>
  </si>
  <si>
    <t>Примечание</t>
  </si>
  <si>
    <t>E-001</t>
  </si>
  <si>
    <t>Питание</t>
  </si>
  <si>
    <t>Блок питания 220 → 24 В (внешний адаптер)</t>
  </si>
  <si>
    <t>Модуль</t>
  </si>
  <si>
    <t>Mean Well GST220A24-R7B, 24 В, 9,2 А, 221 Вт, штекер DIN 4-pin (R7B)</t>
  </si>
  <si>
    <t>Выбран</t>
  </si>
  <si>
    <t>Утверждено</t>
  </si>
  <si>
    <t>Силовая</t>
  </si>
  <si>
    <t>—</t>
  </si>
  <si>
    <t>https://www.chipdip.ru/product/gst220a24-r7b-blok-pitaniya-24b-9.2a-221vt-mean-well-9000420376</t>
  </si>
  <si>
    <t>Нет</t>
  </si>
  <si>
    <t>чат 15.09 (утверждено Mikhail)</t>
  </si>
  <si>
    <t>Вне корпуса, «ноутбучная» схема: 220 В в стенд не заходит. Сетевой шнур C13 покупается отдельно. Прежний кандидат — Ecola LED 200 Вт IP20 (ozon.ru/t/higU70q), судьба уточняется</t>
  </si>
  <si>
    <t>E-002</t>
  </si>
  <si>
    <t>Кнопка включения питания (коммутирует катушку реле шины 24 В)</t>
  </si>
  <si>
    <t>Компонент</t>
  </si>
  <si>
    <t>Антивандальная 22 мм, с фиксацией, индикатор 24 В</t>
  </si>
  <si>
    <t>Панель</t>
  </si>
  <si>
    <t>https://ozon.ru/t/zLw6TpD</t>
  </si>
  <si>
    <t>Через контакт — только ток катушки реле (замыкает A2 на GND_P); подсветка 24 В с выхода реле (горит, когда +24 подан). Разъём на PS — XP1 4-конт. (E-092): контакт 1–2, подсветка 3–4. Прежний — тумблер REXANT 15 А (ozon.ru/t/j7BR2sW), судьба уточняется</t>
  </si>
  <si>
    <t>E-003</t>
  </si>
  <si>
    <t>Предохранитель шины 24 В (после DC-гнезда, до реле)</t>
  </si>
  <si>
    <t>Предохранитель флажковый (ATO) 10 А + держатель на провод с крышкой АЭНК 8219 (до 30 А)</t>
  </si>
  <si>
    <t>Корпус</t>
  </si>
  <si>
    <t>https://www.chipdip.ru/product/8219-derzhatel-predohranitelya-flazhkovogo-avtoelektronika-8012694315</t>
  </si>
  <si>
    <t>Внутри корпуса, врезается в линию +24 между DC-гнездом и реле NRP-15. Цена держателя не заполнена</t>
  </si>
  <si>
    <t>E-004</t>
  </si>
  <si>
    <t>TVS шины 24 В</t>
  </si>
  <si>
    <t>SMCJ26A (однонаправленный, 26 В, 1500 Вт)</t>
  </si>
  <si>
    <t>PS</t>
  </si>
  <si>
    <t>доска + чат 15.09 (утверждено Mikhail)</t>
  </si>
  <si>
    <t>Параллельно шине +24 после предохранителя; ограничение ниже пределов XL4015E (38 В) и DRV8871 (45 В). SMBJ28A с доски отклонён (R-015)</t>
  </si>
  <si>
    <t>E-007</t>
  </si>
  <si>
    <t>DC-DC 24 → 5P (силовые 5 В)</t>
  </si>
  <si>
    <t>XL4015E, 5 А, регулируемый</t>
  </si>
  <si>
    <t>https://ozon.ru/t/v0TomWG</t>
  </si>
  <si>
    <t>лист питания</t>
  </si>
  <si>
    <t>Выставить 5,0 В и зафиксировать; питает ТОЛЬКО +5P: катушки NRP-02 ×16 (~640 мА), оптореле, выходы 6N137. Остров — от E-010</t>
  </si>
  <si>
    <t>E-008</t>
  </si>
  <si>
    <t>Индикатор «+5P есть»</t>
  </si>
  <si>
    <t>Светодиод 2 В (жёлтый по реестру)</t>
  </si>
  <si>
    <t>https://ozon.ru/t/1fZdgL1</t>
  </si>
  <si>
    <t>Цвет не фиксирован</t>
  </si>
  <si>
    <t>E-009</t>
  </si>
  <si>
    <t>Резистор индикатора +5P</t>
  </si>
  <si>
    <t>https://ozon.ru/t/QWYR5Dy</t>
  </si>
  <si>
    <t>≈20 мА</t>
  </si>
  <si>
    <t>E-010</t>
  </si>
  <si>
    <t>Изолированный DC-DC 24 → 5 (логический остров)</t>
  </si>
  <si>
    <t>Mornsun VRB2405YMD-10WR3 (24 → 5 В, 10 Вт / 2 А, стабилизированный, изоляция 1,5 кВ)</t>
  </si>
  <si>
    <t>Граница</t>
  </si>
  <si>
    <t>Питается от шины +24 (не от XL4015E). Остров ≈0,4 А + линия схвата до 1 А (E-083). Выводы по datasheet Mornsun 2026.03 (YMD, 25,4 × 25,4): 1 Ctrl (свободен), 2 GND, 3 Vin, 4 +Vo, 5 нет вывода, 6 0V; вывод ⌀1,0, отверстие 1,5. B0505S-1W из реестра не используется (R-013)</t>
  </si>
  <si>
    <t>E-011</t>
  </si>
  <si>
    <t>Источник 3,3 В логики</t>
  </si>
  <si>
    <t>Пин 3V3 платы YD-ESP32-S3 (бортовой LDO 5→3,3 В, 1 А)</t>
  </si>
  <si>
    <t>Логическая</t>
  </si>
  <si>
    <t>MC</t>
  </si>
  <si>
    <t>Отдельного компонента нет. Потребители: TCA9548A, подтяжки I2C/RST, подтяжка выхода оптрона KH (&lt;20 мА)</t>
  </si>
  <si>
    <t>E-012</t>
  </si>
  <si>
    <t>Дроссель фильтра +5P (L1)</t>
  </si>
  <si>
    <t>Talema DPO-3.0-22 — тороид 22 мкГн, 3 А, 50 мОм, ⌀14 × 8 мм, выводы 0,5 мм</t>
  </si>
  <si>
    <t>https://www.chipdip.ru/product/dpo-3-0-22-drossel-pomehopodavlyayuschiy-dpu-22mkgn-talema-8002552890</t>
  </si>
  <si>
    <t>чат 17.09 (утверждено Mikhail)</t>
  </si>
  <si>
    <t>LC-фильтр пульсаций после модуля XL4015E вне его петли ОС: L1 + C1 (E-093) + C2 (E-094), f₀ ≈ 1,6 кГц; падение ≈ 50 мВ/А. Footprint L_Toroid_D20_P10.16mm. Цена не заполнена</t>
  </si>
  <si>
    <t>E-020</t>
  </si>
  <si>
    <t>Контроллер</t>
  </si>
  <si>
    <t>Микроконтроллер</t>
  </si>
  <si>
    <t>YD-ESP32-S3 N16R8 DevKit (ESP32-S3-DevKitC-1 clone)</t>
  </si>
  <si>
    <t>https://ozon.ru/t/Wcg9F9p</t>
  </si>
  <si>
    <t>Да</t>
  </si>
  <si>
    <t>доска + чат 15.09</t>
  </si>
  <si>
    <t>Распиновка принята («Аккуратно!»); ПК — родной USB GPIO19/20, запас CH343 GPIO43/44; VIN от изолированных +5; GPIO48 — концевик M1 (предложение)</t>
  </si>
  <si>
    <t>E-021</t>
  </si>
  <si>
    <t>Подтяжки главной шины I2C</t>
  </si>
  <si>
    <t>чат 20.09 (утверждено Mikhail)</t>
  </si>
  <si>
    <t>На модуле ESP32 подтяжек нет Утверждено 20.09.2026.</t>
  </si>
  <si>
    <t>E-022</t>
  </si>
  <si>
    <t>I2C/датчики</t>
  </si>
  <si>
    <t>Мультиплексор I2C</t>
  </si>
  <si>
    <t>CJMCU-9548 (TCA9548A/PCA9548A)</t>
  </si>
  <si>
    <t>https://ozon.ru/t/QWYQvBC</t>
  </si>
  <si>
    <t>VCC 3,3 В; A2 GND; A0/A1 от ESP32 (GPIO47/38); каналы 0–3</t>
  </si>
  <si>
    <t>E-023</t>
  </si>
  <si>
    <t>Подтяжка RST мультиплексора</t>
  </si>
  <si>
    <t>чат 15.09</t>
  </si>
  <si>
    <t>+ линия на GPIO42</t>
  </si>
  <si>
    <t>E-024</t>
  </si>
  <si>
    <t>Режим ЛР</t>
  </si>
  <si>
    <t>Кнопка переключения режима KH</t>
  </si>
  <si>
    <t>EKF S-Pro67, 19 мм, с фиксатором, белая подсветка 24 В</t>
  </si>
  <si>
    <t>Контакт коммутирует +5P на шину KH; подсветка от +24 с PS (XP5, E-018) кабелем напрямую к кнопке, минуя плату LR. Уточнить группу контактов (нужен 1×NO)</t>
  </si>
  <si>
    <t>E-025</t>
  </si>
  <si>
    <t>Подтяжка шины KH на землю</t>
  </si>
  <si>
    <t>https://ozon.ru/t/gmtx6pg</t>
  </si>
  <si>
    <t>E-026</t>
  </si>
  <si>
    <t>Оптореле сигнала KH → ESP32</t>
  </si>
  <si>
    <t>КР293КП2Б (из запаса: в реестре 12 шт., на RELE нужно 4)</t>
  </si>
  <si>
    <t>https://ozon.ru/t/sXzB21l</t>
  </si>
  <si>
    <t>Статический сигнал — скорость не важна; выход замыкает GPIO41 на GND_L; вход инвертный (в ПО). PC817 отклонён (R-014)</t>
  </si>
  <si>
    <t>E-027</t>
  </si>
  <si>
    <t>Резисторы оптореле KH</t>
  </si>
  <si>
    <t>чат 19.09 (утверждено Mikhail)</t>
  </si>
  <si>
    <t>Номиналы — предложение под КР293КП2Б (LED ≤10 мА) Утверждено 19.09.2026 в составе силовой части.</t>
  </si>
  <si>
    <t>E-030</t>
  </si>
  <si>
    <t>Канал привода</t>
  </si>
  <si>
    <t>Драйвер ДПТ</t>
  </si>
  <si>
    <t>DRV8871 (модуль, клон Adafruit), 6,5–45 В</t>
  </si>
  <si>
    <t>CH</t>
  </si>
  <si>
    <t>https://ozon.ru/t/tPvFr4r</t>
  </si>
  <si>
    <t>Ждёт мотора: до 3,6 А пик / ~2 А длит. Посадочное место сделать разъёмным Утверждено 19.09.2026 вместе с двигателем E-041 (1,2 А ном.): ток канала известен.</t>
  </si>
  <si>
    <t>E-031</t>
  </si>
  <si>
    <t>Микросхема драйвера на модуле</t>
  </si>
  <si>
    <t>Внутри модуля</t>
  </si>
  <si>
    <t>DRV8871DDAR</t>
  </si>
  <si>
    <t>Приходит с модулем E-030 Утверждено 19.09.2026 вместе с двигателем E-041 (1,2 А ном.): ток канала известен.</t>
  </si>
  <si>
    <t>E-032</t>
  </si>
  <si>
    <t>Изолятор PWM IN1/IN2</t>
  </si>
  <si>
    <t>6N137</t>
  </si>
  <si>
    <t>чат 14.09</t>
  </si>
  <si>
    <t>Замена КР293КП2Б на PWM 20 кГц; выход инвертирующий (в ПО)</t>
  </si>
  <si>
    <t>E-033</t>
  </si>
  <si>
    <t>Резистор LED 6N137</t>
  </si>
  <si>
    <t>Общий для ESP32 (3,3 В) и студента (3,3/5 В)</t>
  </si>
  <si>
    <t>E-034</t>
  </si>
  <si>
    <t>Подтяжка выхода 6N137 к +5P</t>
  </si>
  <si>
    <t xml:space="preserve"> Утверждено 19.09.2026 в составе силовой части.</t>
  </si>
  <si>
    <t>E-035</t>
  </si>
  <si>
    <t>Оптореле сигнала RELE</t>
  </si>
  <si>
    <t>КР293КП2Б</t>
  </si>
  <si>
    <t>доска</t>
  </si>
  <si>
    <t>В реестре 12 шт. → нужно 4 (упаковка по 3)</t>
  </si>
  <si>
    <t>E-036</t>
  </si>
  <si>
    <t>Резистор LED оптореле</t>
  </si>
  <si>
    <t>≤10 мА</t>
  </si>
  <si>
    <t>E-037</t>
  </si>
  <si>
    <t>Реле аварийного отключения питания ДПТ</t>
  </si>
  <si>
    <t>HF49FD/005-1H11 (Hongfa, 5 В, 5 А, 30 В DC)</t>
  </si>
  <si>
    <t>https://ozon.ru/t/ukwD77G</t>
  </si>
  <si>
    <t>Годится только при стопорном токе мотора ≤ 5 А; катушка 24 мА через КР293КП2Б Утверждено 19.09.2026 вместе с двигателем E-041 (1,2 А ном.): ток канала известен.</t>
  </si>
  <si>
    <t>E-038</t>
  </si>
  <si>
    <t>Датчик тока</t>
  </si>
  <si>
    <t>ACS712-20A (модуль), 100 мВ/А</t>
  </si>
  <si>
    <t>https://ozon.ru/t/1fZ9B9H</t>
  </si>
  <si>
    <t>доска + чат 14.09</t>
  </si>
  <si>
    <t>Сигнальная часть — логические +5; измеряемая цепь — силовая</t>
  </si>
  <si>
    <t>E-039</t>
  </si>
  <si>
    <t>Микросхема датчика тока на модуле</t>
  </si>
  <si>
    <t>ACS712ELCTR-20A</t>
  </si>
  <si>
    <t>модуль</t>
  </si>
  <si>
    <t>Приходит с модулем E-038</t>
  </si>
  <si>
    <t>E-040</t>
  </si>
  <si>
    <t>Согласование выхода ACS712 с ADC ESP32</t>
  </si>
  <si>
    <t>0–5 В → 0–3,3 В; не утверждено Утверждено 19.09.2026 вместе с силовой частью.</t>
  </si>
  <si>
    <t>E-041</t>
  </si>
  <si>
    <t>Двигатель ДПТ 24 В</t>
  </si>
  <si>
    <t>Червячный мотор-редуктор NFP-5840-31ZY-DSH («2480»), 24 В, i = 670, двойной вал Ø8 мм, с фланцем</t>
  </si>
  <si>
    <t>Звено</t>
  </si>
  <si>
    <t>https://market.yandex.ru/cc/B6zFNi</t>
  </si>
  <si>
    <t>Червячный, самотормозящий. Паспорт класса (5840-31ZY, 24 В, i=670): 12 об/мин х.х., 9 об/мин и 70 кгс·см номинал, ток ≤1,2 А. Расчёт: M1 (вертикальная ось, J=2,77 кг·м² при вылете 1,21 м с грузом 0,5 кг) требует 3,1 Н·м при ε=1 рад/с² — запас ×2,2; звено 4 требует 2,35 Н·м, после двух ремней получаем 5,6 Н·м — запас ×2,4. Волновой редуктор i=8 НЕ ставится: дал бы 55 Н·м на печатном ABS-редукторе. Проверить у продавца стопорный ток (паспортные ≤1,6 А сомнительны) и что вал М8 — гладкий Ø8, а не резьба: под магнит AS5600 нужен ровный торец. Определяет (2), (6), (7), (16): по трём моторам M2…M4 токосъёмное кольцо ≥ 5 А. Отклонён FGA-43246000-G149 (4,5 А ном., ~20 А стоп) Модель по каталогу nfpshop.com (NFP-5840-31ZY-DSH).</t>
  </si>
  <si>
    <t>E-042</t>
  </si>
  <si>
    <t>Датчик положения звена</t>
  </si>
  <si>
    <t>AS5600 (модуль)</t>
  </si>
  <si>
    <t>Питание — логические +5/3,3 В (остров), не +5P; M2…M4 — через кольцо</t>
  </si>
  <si>
    <t>E-043</t>
  </si>
  <si>
    <t>Микросхема энкодера на модуле</t>
  </si>
  <si>
    <t>AS5600-ASOM</t>
  </si>
  <si>
    <t>Приходит с модулем E-042</t>
  </si>
  <si>
    <t>E-044</t>
  </si>
  <si>
    <t>Подтяжки I2C на модуле AS5600</t>
  </si>
  <si>
    <t>10 кОм (типично для модулей)</t>
  </si>
  <si>
    <t>Кандидат</t>
  </si>
  <si>
    <t>Уточняется</t>
  </si>
  <si>
    <t>Проверить наличие на конкретном модуле; должны быть на стороне энкодера</t>
  </si>
  <si>
    <t>E-050</t>
  </si>
  <si>
    <t>Реле переключения режима (IN1, IN2, SDA, SCL)</t>
  </si>
  <si>
    <t>NRP-02-C-05DH, 5 В, SPDT, 3 А</t>
  </si>
  <si>
    <t>https://www.chipdip.ru/product/nrp-02-c-05dh-rele-1-pereklyuch-5vdc-3a-125vac-spdt-na-ncr-9000276611</t>
  </si>
  <si>
    <t>доска + ChipDip</t>
  </si>
  <si>
    <t>Катушки от шины KH (+5P), ~40 мА каждая; сторона — граница: катушки от +5P, контакты в логических цепях</t>
  </si>
  <si>
    <t>LR</t>
  </si>
  <si>
    <t>E-052</t>
  </si>
  <si>
    <t>Защита SDA/SCL разъёма ЛР — последовательный резистор</t>
  </si>
  <si>
    <t>Решение «добавить защиту» принято, номиналы — предложение Утверждено 19.09.2026 вместе с разъёмом ЛР.</t>
  </si>
  <si>
    <t>E-053</t>
  </si>
  <si>
    <t>Защита SDA/SCL разъёма ЛР — ограничитель</t>
  </si>
  <si>
    <t>BAT54S (сборка на 3,3 В и GND)</t>
  </si>
  <si>
    <t xml:space="preserve"> Утверждено 19.09.2026 вместе с разъёмом ЛР.</t>
  </si>
  <si>
    <t>E-054</t>
  </si>
  <si>
    <t>Защита IN1/IN2 разъёма ЛР — встречный диод</t>
  </si>
  <si>
    <t>1N4148 или аналог</t>
  </si>
  <si>
    <t>От отрицательного напряжения / переполюсовки на LED 6N137 Утверждено 19.09.2026 вместе с разъёмом ЛР.</t>
  </si>
  <si>
    <t>E-060</t>
  </si>
  <si>
    <t>Индикация</t>
  </si>
  <si>
    <t>Расширитель портов для индикации</t>
  </si>
  <si>
    <t>PCF8574 (DIP или модуль)</t>
  </si>
  <si>
    <t>Принцип «через мультиплексор» утверждён; PCF8574 — предложение. 8 выходов = 4 двухцветных LED без запаса Утверждено 20.09.2026. Остаётся «Аккуратно!»: 8 выходов = ровно 4 двухцветных светодиода без запаса; под индикацию режима или аварии понадобится PCF8575 либо второй PCF8574.</t>
  </si>
  <si>
    <t>E-061</t>
  </si>
  <si>
    <t>Индикатор состояния звена</t>
  </si>
  <si>
    <t>Двухцветный LED зелёный/красный, 3 вывода</t>
  </si>
  <si>
    <t>Только функция</t>
  </si>
  <si>
    <t>Логика свечения — в требования к ПО</t>
  </si>
  <si>
    <t>E-062</t>
  </si>
  <si>
    <t>Резисторы индикаторов звеньев</t>
  </si>
  <si>
    <t>Аноды к +3,3, катоды на PCF8574 (зажигание нулём) Утверждено 20.09.2026.</t>
  </si>
  <si>
    <t>E-070</t>
  </si>
  <si>
    <t>Схват</t>
  </si>
  <si>
    <t>Соединение съёмного схвата</t>
  </si>
  <si>
    <t>Магнитный pogo-разъём 2-pin, шаг 2,8 мм</t>
  </si>
  <si>
    <t>(14)</t>
  </si>
  <si>
    <t>https://market.yandex.ru/cc/AwZszU</t>
  </si>
  <si>
    <t>реестр</t>
  </si>
  <si>
    <t>Нужно 6 + 1 резерв контактов → 4 пары; проверить ток пина для +24 / 2 А</t>
  </si>
  <si>
    <t>E-071</t>
  </si>
  <si>
    <t>Электроника схвата (контроллер, драйвер M5, датчики)</t>
  </si>
  <si>
    <t>(13)</t>
  </si>
  <si>
    <t>GR</t>
  </si>
  <si>
    <t>ТЗ v0.2</t>
  </si>
  <si>
    <t>Отдельное ТЗ; датчики схвата — внутри, по UART</t>
  </si>
  <si>
    <t>E-072</t>
  </si>
  <si>
    <t>Двигатель схвата M5</t>
  </si>
  <si>
    <t>Коллекторный ДПТ 24 В, ≤ 2 А</t>
  </si>
  <si>
    <t>E-073</t>
  </si>
  <si>
    <t>Защита линии ESP-RX от 5-вольтового передатчика</t>
  </si>
  <si>
    <t>Контроллер схвата не выбран (3,3 или 5 В) Утверждено 20.09.2026: на разъём схвата выводится +5 В логики, контроллер схвата может оказаться 5-вольтовым, поэтому защита входа ESP32 обязательна независимо от его выбора. Номиналы приняты как у E-040; при переходе схвата на 3,3 В делитель можно заменить перемычкой.</t>
  </si>
  <si>
    <t>E-080</t>
  </si>
  <si>
    <t>Кольцо/провода</t>
  </si>
  <si>
    <t>Токосъёмное кольцо платформы</t>
  </si>
  <si>
    <t>(16)</t>
  </si>
  <si>
    <t>Дорожки: 6 силовых (M2…M4, ток по мотору) + I2C и +5/GND энкодеров + 6–7 схвата; силовые и логические дорожки раздельно</t>
  </si>
  <si>
    <t>E-081</t>
  </si>
  <si>
    <t>Провод силовой</t>
  </si>
  <si>
    <t>20–22 AWG</t>
  </si>
  <si>
    <t>Бухта; Участок DC-гнездо → предохранитель → реле NRP-15 (полный ток 9,2 А) — 18 AWG (утверждено 16.09)</t>
  </si>
  <si>
    <t>E-082</t>
  </si>
  <si>
    <t>Провод сигнальный</t>
  </si>
  <si>
    <t>30 AWG</t>
  </si>
  <si>
    <t>I2C, UART; для +5 логики к схвату лучше 26–28 AWG</t>
  </si>
  <si>
    <t>E-013</t>
  </si>
  <si>
    <t>Реле шины 24 В (включение питания стенда)</t>
  </si>
  <si>
    <t>NRP-15-C-24D (NCR), катушка 24 В DC 619 Ом / 39 мА / 0,93 Вт, контакт 1C: 20 А 28 В DC (30 А — только 1A)</t>
  </si>
  <si>
    <t>https://www.chipdip.ru/product/nrp-15-c-24d</t>
  </si>
  <si>
    <t>Контакт COM–NO рвёт шину +24 после предохранителя; A1 — +24V_IN постоянно, A2 — на GND_P через контакт кнопки E-002 (XP1). NC не используется. По datasheet NCR NRP15 (ncr.hk): 1C — 20 А/28 В DC. Footprint Relay_NRP-15_1C — вид снизу datasheet зеркалирован, перед пайкой прозвонить COM–NC обесточенного реле</t>
  </si>
  <si>
    <t>E-014</t>
  </si>
  <si>
    <t>DC-гнездо питания на корпусе (вход 24 В от адаптера)</t>
  </si>
  <si>
    <t>Kycon KPJX-PM-4S — панельное гнездо 4-pin power mini-DIN, 7,5 А/контакт, 48 В; ответная часть к штекеру R7B адаптера</t>
  </si>
  <si>
    <t>https://www.chipdip.ru/product/kpjx-pm-4s-dc-power-connectors-4-pn-panel-mt-mini-din-kycon-8005303752</t>
  </si>
  <si>
    <t>чат 16.09 (утверждено Mikhail)</t>
  </si>
  <si>
    <t>Кабель адаптера несъёмный, штекер R7B вставляется напрямую. +V и GND — по два контакта на полюс (распиновку сверить с PDF Kycon и спецификацией Mean Well). Срок поставки ChipDip 6–7 недель; проверить тип выводов (под пайку провода)</t>
  </si>
  <si>
    <t>E-015</t>
  </si>
  <si>
    <t>Диод параллельно катушке реле E-013</t>
  </si>
  <si>
    <t>1N4007 (катодом к +24)</t>
  </si>
  <si>
    <t>Гасит выброс катушки при размыкании, бережёт контакт кнопки Утверждено 19.09.2026 в составе силовой части.</t>
  </si>
  <si>
    <t>E-083</t>
  </si>
  <si>
    <t>Защита линии +5 схвата (в основании)</t>
  </si>
  <si>
    <t>Самовосстанавливающийся предохранитель (polyfuse) Bourns MF-R110 (Ihold 1,1 А, Itrip 2,2 А, 30 В)</t>
  </si>
  <si>
    <t>Функция и порог ~1 А утверждены; модель — Bourns MF-R110 (утверждено Mikhail 05.10.2026: «MF-R100» в серии Bourns MF-R нет, ближайший с Ihold ≥ 1 А — MF-R110; datasheet MF-R rev. Z 06/13). Требование внесено в ТЗ схвата v0.3</t>
  </si>
  <si>
    <t>E-090</t>
  </si>
  <si>
    <t>Концевой выключатель M1 — опорная метка нуля поворота платформы</t>
  </si>
  <si>
    <t>Микропереключатель с рычагом без ролика (тип KW11-3Z / KW12-3), SPDT, использовать NC-контакт; упаковка 5 шт.</t>
  </si>
  <si>
    <t>Основание</t>
  </si>
  <si>
    <t>https://ozon.ru/t/CrIV1po</t>
  </si>
  <si>
    <t>Только на M1 (в основании, без кольца). Служит нулём: кулачок на платформе нажимает в опорном положении; пределы поворота — программные. На M2…M4 концевиков нет — ограничение по углу AS5600 и току. COM → GND_L, NC → GPIO ESP32</t>
  </si>
  <si>
    <t>E-091</t>
  </si>
  <si>
    <t>Обвязка концевика M1</t>
  </si>
  <si>
    <t>Вход ESP32 — GPIO48 из резерва (предложение, «Аккуратно!» в распиновке); обработка по прерыванию Утверждено 20.09.2026; GPIO48 остаётся пометкой «Аккуратно!» в распиновке, к выбору компонента не относится.</t>
  </si>
  <si>
    <t>E-016</t>
  </si>
  <si>
    <t>Сетевой шнур адаптера (Schuko — IEC C13)</t>
  </si>
  <si>
    <t>REXANT 11-1121: вилка CEE 7/7 угловая — IEC 320 C13, 3×0,75 мм², 1,8 м (альтернатива: Power Cube 3×1,0 мм², 16 А)</t>
  </si>
  <si>
    <t>https://www.chipdip.ru/product/11-1121-shnur-setevoy-vilka-uglovaya-see-7-7-schuko-rexant-8518334503</t>
  </si>
  <si>
    <t>Вход адаптера GST220A — C14, шнур в комплект не входит; ток от сети ~1 А. Цена не заполнена; подойдёт любой имеющийся шнур от монитора/ПК</t>
  </si>
  <si>
    <t>E-017</t>
  </si>
  <si>
    <t>Клеммник силовых линий 24 В на плате PS (вход J1, выходы J3…J7)</t>
  </si>
  <si>
    <t>DG301-5.0-02P-12 (KLS2-301-5.00-02P-2S), Degson — клеммник винтовой на плату, 2 контакта, шаг 5,0 мм, прямой, 15 А / 300 В (UL), провод 0,75–1,5 мм² (22–14 AWG)</t>
  </si>
  <si>
    <t>https://www.chipdip.ru/product/dg301-5.0-02p-12-kls2-301-5.00-02p-2s-klemmnik-degson-9000110359</t>
  </si>
  <si>
    <t>XT1 (вход, 18 AWG), XT2…XT6 (выходы +24, 20–22 AWG). По чертежу Degson 200102539: корпус 5,0×N × 7,6 × 10 мм, вывод ⌀1,0, отверстие 1,2 (в footprint 1,3), винт M2.5, момент 0,29 Н·м. Ответная часть не нужна; полярность — шёлкографией; стыкуются в ряд</t>
  </si>
  <si>
    <t>E-018</t>
  </si>
  <si>
    <t>Разъём сигнальный малого тока на PS (LED панели XP4, питание подсветки KH XP5)</t>
  </si>
  <si>
    <t>JST B2B-XH-A (LF)(SN) — вилка прямая на плату, серия XH, 2,5 мм, 2 контакта, 3 А</t>
  </si>
  <si>
    <t>https://www.chipdip.ru/product/b2b-xh-a-lf-sn-razem-shtyrevoy-na-platu-2.5-mm-2-jst-9000015961</t>
  </si>
  <si>
    <t>XP4 (LED «+5P есть» E-008), XP5 (+24 на подсветку кнопки KH E-024, кабель к кнопке). Ответная часть на кабель: корпус XHP-2 + контакты SXH-001T-P0.6 ×2 — докупить к каждому разъёму. Тот же тип — на LR и MC</t>
  </si>
  <si>
    <t>E-019</t>
  </si>
  <si>
    <t>Разъём питания логики PS → MC (+5P XP2, +5 остров XP3)</t>
  </si>
  <si>
    <t>JST B2P-VH — вилка прямая на плату, серия VH, 3,96 мм, 2 контакта, 10 А</t>
  </si>
  <si>
    <t>https://www.chipdip.ru/product/b2p-vh</t>
  </si>
  <si>
    <t>XP2 (+5P → MC), XP3 (+5 остров → MC, с выхода U2). Ответная часть на кабель: корпус VHR-2N + контакты SVH-21T-P1.1 ×2 (18–22 AWG) — докупить к каждому разъёму</t>
  </si>
  <si>
    <t>E-092</t>
  </si>
  <si>
    <t>Разъём кнопки питания на PS (XP1: контакт катушки + подсветка)</t>
  </si>
  <si>
    <t>JST B4B-XH-A (LF)(SN) — вилка прямая на плату, серия XH, 2,5 мм, 4 контакта, 3 А</t>
  </si>
  <si>
    <t>https://www.chipdip.ru/product/b4b-xh-a-lf-sn-razem-shtyrevoy-4-kontakta-2.5mm-na-jst-9000628021</t>
  </si>
  <si>
    <t>E-093</t>
  </si>
  <si>
    <t>Конденсатор фильтра +5P (C1)</t>
  </si>
  <si>
    <t>Электролитический 470 мкФ 16 В, 105 °C, low ESR, ⌀8 мм, шаг 3,5 мм (любой производитель)</t>
  </si>
  <si>
    <t>Footprint CP_Radial_D8.0mm_P3.50mm; «+» — вывод 1. Конкретную марку выбрать при закупке</t>
  </si>
  <si>
    <t>E-094</t>
  </si>
  <si>
    <t>Конденсатор фильтра +5P (C2)</t>
  </si>
  <si>
    <t>Керамический 0,1 мкФ 50 В X7R, выводной, шаг 5 мм</t>
  </si>
  <si>
    <t>Footprint C_Disc_P5.00mm. Конкретную марку выбрать при закупке</t>
  </si>
  <si>
    <t>E-095</t>
  </si>
  <si>
    <t>Конденсатор фильтра сигнала CURR перед АЦП</t>
  </si>
  <si>
    <t>чат 29.09 (утверждено Mikhail)</t>
  </si>
  <si>
    <t>Footprint C_Disc_P5.00mm. Ставится в среднюю точку делителя R6/R7 (за резистором 10 кОм): у ACS712 допустимая ёмкость нагрузки не более 10 нФ, поэтому прямо на выход датчика конденсатор ставить нельзя. Снижает выходное сопротивление источника для АЦП ESP32 (6,7 кОм) и усредняет ШИМ 20 кГц: RC около 0,67 мс, полоса около 240 Гц</t>
  </si>
  <si>
    <t>Название модуля</t>
  </si>
  <si>
    <t>Статус</t>
  </si>
  <si>
    <t>Что уже на плате (см. «Внутри модуля»)</t>
  </si>
  <si>
    <t>Что нужно рядом на нашей плате</t>
  </si>
  <si>
    <t>Нужно, шт.</t>
  </si>
  <si>
    <t>Докупить</t>
  </si>
  <si>
    <t>Mean Well GST220A24-R7B (внешний адаптер 24 В, 221 Вт)</t>
  </si>
  <si>
    <t>Сетевой вход C14, защиты КЗ/перегрузки/перенапряжения/перегрева, индикатор, штекер DIN 4-pin</t>
  </si>
  <si>
    <t>DC-гнездо E-014, предохранитель 10 А E-003, реле E-013 + диод E-015, кнопка E-002</t>
  </si>
  <si>
    <t>XL4015E 24→5P</t>
  </si>
  <si>
    <t>XL4015E, дроссель, диод, подстроечник</t>
  </si>
  <si>
    <t>фильтр +5P, индикатор</t>
  </si>
  <si>
    <t>YD-ESP32-S3 DevKit</t>
  </si>
  <si>
    <t>ESP32-S3-WROOM N16R8, LDO 3,3 В, CH343, USB-C ×2, кнопки BOOT/RST</t>
  </si>
  <si>
    <t>подтяжки I2C, гребёнки</t>
  </si>
  <si>
    <t>CJMCU-9548 (TCA9548A)</t>
  </si>
  <si>
    <t>TCA9548A, подтяжки адресных входов</t>
  </si>
  <si>
    <t>10 кОм на RST, питание 3,3 В</t>
  </si>
  <si>
    <t>DRV8871 модуль</t>
  </si>
  <si>
    <t>DRV8871, конденсатор VM, клеммники</t>
  </si>
  <si>
    <t>6N137 ×2 с резисторами и подтяжками, реле HF49FD</t>
  </si>
  <si>
    <t>ACS712-20A модуль</t>
  </si>
  <si>
    <t>ACS712ELCTR-20A, фильтр, клеммник</t>
  </si>
  <si>
    <t>делитель 10к/20к на выход (предложение)</t>
  </si>
  <si>
    <t>AS5600 модуль</t>
  </si>
  <si>
    <t>AS5600, подтяжки I2C (проверить), магнит</t>
  </si>
  <si>
    <t>реле NRP-02 ×2 на SDA/SCL, питание с острова</t>
  </si>
  <si>
    <t>Pogo магнитный 2-pin</t>
  </si>
  <si>
    <t>4 пары на 7 контактов</t>
  </si>
  <si>
    <t>Количества подтягиваются с листа «Компоненты» по ID (формулы INDEX/MATCH). Состав «что на плате» — текст; детализация — строки типа «Внутри модуля» на листе «Компоненты».</t>
  </si>
  <si>
    <t>Что было предложено / стояло в реестре</t>
  </si>
  <si>
    <t>Чем заменено</t>
  </si>
  <si>
    <t>Причина</t>
  </si>
  <si>
    <t>Дата решения</t>
  </si>
  <si>
    <t>R-001</t>
  </si>
  <si>
    <t>Ступени DC-DC 24→12 В и 12→5 В (LM2596 → LM2672)</t>
  </si>
  <si>
    <t>XL4015E 24→5P напрямую</t>
  </si>
  <si>
    <t>DRV8871 питается от 24 В, 12 В не нужны</t>
  </si>
  <si>
    <t>14.09.2026</t>
  </si>
  <si>
    <t>R-002</t>
  </si>
  <si>
    <t>Второй B0505S-1W в цепи KH + делитель 2×500 Ом → ESP-KH 2,5 В</t>
  </si>
  <si>
    <t>Оптрон (PC817 — предложение)</t>
  </si>
  <si>
    <t>Уровень 2,5 В на границе порога ESP32; изолированный DC-DC ради одного сигнала избыточен</t>
  </si>
  <si>
    <t>R-003</t>
  </si>
  <si>
    <t>КР293КП2Б на входах IN1/IN2 драйвера</t>
  </si>
  <si>
    <t>Время переключения ~1 мс не пропускает PWM 20 кГц</t>
  </si>
  <si>
    <t>R-004</t>
  </si>
  <si>
    <t>Красный LED + 50 Ом напрямую с GPIO ESP32 (ESP-Mx-VD ×4)</t>
  </si>
  <si>
    <t>Двухцветные LED через PCF8574</t>
  </si>
  <si>
    <t>50 Ом → 26 мА с GPIO (выше нормы); экономия выводов</t>
  </si>
  <si>
    <t>14–15.09.2026</t>
  </si>
  <si>
    <t>R-005</t>
  </si>
  <si>
    <t>Тумблер REXANT как переключатель KH</t>
  </si>
  <si>
    <t>Кнопка с фиксацией и подсветкой 24 В</t>
  </si>
  <si>
    <t>Решение по эргономике (фото)</t>
  </si>
  <si>
    <t>R-006</t>
  </si>
  <si>
    <t>Собственный изолированный DC-DC в схвате из +24 В для логики</t>
  </si>
  <si>
    <t>Логика схвата от изолированных +5 основания</t>
  </si>
  <si>
    <t>Потребовал бы изолятора UART в основании</t>
  </si>
  <si>
    <t>R-007</t>
  </si>
  <si>
    <t>CAN / I2C как интерфейс до схвата</t>
  </si>
  <si>
    <t>UART (RX/TX, 3,3 В TTL)</t>
  </si>
  <si>
    <t>Проще; 6 проводов</t>
  </si>
  <si>
    <t>R-008</t>
  </si>
  <si>
    <t>Канал привода M5 в основании (5-й DRV8871, ACS712, канал мультиплексора)</t>
  </si>
  <si>
    <t>Электроника M5 в съёмном схвате, данные по UART</t>
  </si>
  <si>
    <t>Схват — съёмный модуль с собственной электроникой</t>
  </si>
  <si>
    <t>R-009</t>
  </si>
  <si>
    <t>Оптроны 4-выводные ×20 на каждый PWM (схема курсового проекта)</t>
  </si>
  <si>
    <t>6N137 ×8 + КР293КП2Б ×4</t>
  </si>
  <si>
    <t>Зачёркнуто на доске; заменено рукописной схемой</t>
  </si>
  <si>
    <t>R-010</t>
  </si>
  <si>
    <t>Питание TCA9548A от +5 В</t>
  </si>
  <si>
    <t>3,3 В</t>
  </si>
  <si>
    <t>Порог входов 0,7·VCC = 3,5 В — не видит уровни ESP32</t>
  </si>
  <si>
    <t>15.09.2026</t>
  </si>
  <si>
    <t>R-011</t>
  </si>
  <si>
    <t>USB через мост CH343 (UART0) как основной канал к ПК</t>
  </si>
  <si>
    <t>Родной USB ESP32-S3 (GPIO19/20)</t>
  </si>
  <si>
    <t>Решение Mikhail; CH343 — запасной вариант</t>
  </si>
  <si>
    <t>R-012</t>
  </si>
  <si>
    <t>Мотор StepperOnline FGA-43246000-G149 как утверждённый</t>
  </si>
  <si>
    <t>Двигатель не определён (кандидат сохранён)</t>
  </si>
  <si>
    <t>Под 4,5 А ном. / ~20 А стоп. не проходят DRV8871, HF49FD 5 А, БП 200 Вт</t>
  </si>
  <si>
    <t>R-013</t>
  </si>
  <si>
    <t>B0505S-1W ×4 для питания острова</t>
  </si>
  <si>
    <t>Один изолированный модуль 2–3 Вт (предложение)</t>
  </si>
  <si>
    <t>Бюджет острова 280–400 мА; параллелить 1-ваттные нецелесообразно</t>
  </si>
  <si>
    <t>R-014</t>
  </si>
  <si>
    <t>PC817 как оптрон сигнала KH → ESP32 (E-026)</t>
  </si>
  <si>
    <t>КР293КП2Б из запаса (реестр 12 шт., нужно 4)</t>
  </si>
  <si>
    <t>Сигнал статический, скорость не нужна; КР293КП2Б уже куплены — новая позиция не требуется</t>
  </si>
  <si>
    <t>R-015</t>
  </si>
  <si>
    <t>SMBJ28A как TVS шины 24 В (с доски)</t>
  </si>
  <si>
    <t>SMCJ26A</t>
  </si>
  <si>
    <t>Ограничение SMBJ28A (~45 В) выше предела XL4015E (38 В); SMCJ26A мощнее и ограничивает ниже</t>
  </si>
  <si>
    <t>R-016</t>
  </si>
  <si>
    <t>Отдельный индикатор «+24 есть» на панели: светодиод E-005 + резистор 1 кОм E-006 (R1, XP4 на PS)</t>
  </si>
  <si>
    <t>Встроенная подсветка 24 В кнопки питания E-002 через 4-конт. разъём XP1 (E-092), питание с выхода реле</t>
  </si>
  <si>
    <t>Кнопка уже содержит индикатор 24 В; отдельный светодиод и резистор дублируют его</t>
  </si>
  <si>
    <t>17.09.2026</t>
  </si>
  <si>
    <t>Сводка по базе компонентов (формулы по листу «Компоненты»)</t>
  </si>
  <si>
    <t>Позиций</t>
  </si>
  <si>
    <t>Всего шт.</t>
  </si>
  <si>
    <t>Докупить шт.</t>
  </si>
  <si>
    <t>Предложение</t>
  </si>
  <si>
    <t>Итого</t>
  </si>
  <si>
    <t>Из них уточняется</t>
  </si>
  <si>
    <t>Позиций с пометкой «Аккуратно!»</t>
  </si>
  <si>
    <t>Отклонённых решений (лист «Отклонено»)</t>
  </si>
  <si>
    <t>Открытые вопросы: на листе «Компоненты» фильтр Статус = «Уточняется» или Определённость = «Только функция». Что докупать: фильтр Докупить &gt; 0.</t>
  </si>
  <si>
    <t>Определённость</t>
  </si>
  <si>
    <t>Да/Нет</t>
  </si>
  <si>
    <t>Списки используются проверкой данных на листе «Компоненты». Добавляя значение — дописывай сюда.</t>
  </si>
  <si>
    <t>Коды плат: MC — главная (контроллер), PS — питание, CH — канал привода (×4+1), LR — панель ЛР, GR — схват</t>
  </si>
  <si>
    <t>https://ozon.ru/t/3 QXN2ZT</t>
  </si>
  <si>
    <t>МЛТ-0,25 ±5 %, 150 Ом</t>
  </si>
  <si>
    <t>МЛТ-0,25 ±5 %, 4,7 кОм (подтяжка к 3,3 В)</t>
  </si>
  <si>
    <t>МЛТ-0,25 ±5 %, 10 кОм (подтяжка к 3,3 В)</t>
  </si>
  <si>
    <t>МЛТ-0,25 ±5 %, 1 кОм</t>
  </si>
  <si>
    <t>МЛТ-0,25 ±5 %, 470 Ом (LED, от шины KH 5 В, ~8 мА) + 10 кОм (подтяжка GPIO41 к 3,3 В)</t>
  </si>
  <si>
    <t>МЛТ-0,25 ±5 %, 220 Ом</t>
  </si>
  <si>
    <t>МЛТ-0,25 ±5 %, 4,7 кОм</t>
  </si>
  <si>
    <t>С2-23-0,25 ±1 %, делитель 10 кОм + 20 кОм</t>
  </si>
  <si>
    <t>МЛТ-0,25 ±5 %, 100 Ом</t>
  </si>
  <si>
    <t>С2-23-0,25 ±1 %, делитель 10 кОм + 20 кОм на линии ESP-RX (5 В → 3,3 В)</t>
  </si>
  <si>
    <t>МЛТ-0,25 ±5 %, 10 кОм (подтяжка к 3,3 В) + конденсатор керамический 0,1 мкФ 50 В X7R (фильтр дребезга)</t>
  </si>
  <si>
    <t>E-096</t>
  </si>
  <si>
    <t>Разъём межплатного шлейфа 2×6</t>
  </si>
  <si>
    <t>Вилка IDC BH-12 (DS1013-12SIB), на плату, 2×6, шаг 2,54 мм, с ключом, 1 А</t>
  </si>
  <si>
    <t>чат 05.10 (утверждено Mikhail)</t>
  </si>
  <si>
    <t>MC X6…X9 (4 шт.) и CH X1 (1 шт.); в схемах поле BaseID не проставлено</t>
  </si>
  <si>
    <t>E-097</t>
  </si>
  <si>
    <t>Гнёзда под модуль контроллера</t>
  </si>
  <si>
    <t>Гнездо PBS-22 (DS1023-1×22), однорядное, 22 контакта, шаг 2,54 мм</t>
  </si>
  <si>
    <t>MC XS1, XS2 — пара гнёзд под модуль; в схемах поле BaseID не проставлено</t>
  </si>
  <si>
    <t>E-098</t>
  </si>
  <si>
    <t>Разъём сигнальный 5 контактов</t>
  </si>
  <si>
    <t>JST B5B-XH-A (LF)(SN), вилка прямая на плату, XH, 2,5 мм, 5 контактов, 3 А</t>
  </si>
  <si>
    <t>чат 06.10 (утверждено Mikhail)</t>
  </si>
  <si>
    <t>LR X1…X8 (8 шт.) и CH X2 (1 шт.); позиция клемм ZP-001 (E-051) исключена 06.10.2026</t>
  </si>
  <si>
    <t>PS X2 (кнопка питания), MC X1 и X2, MC X10, LR X9 — вилка на 4 контакта; PS X2 и MC X2 переключены с E-018 06.10.2026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</si>
</sst>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u/>
      <sz val="10"/>
      <color rgb="FF0563C1"/>
      <name val="Arial"/>
      <family val="2"/>
    </font>
    <font>
      <sz val="10"/>
      <color rgb="FF0000FF"/>
      <name val="Arial"/>
      <family val="2"/>
    </font>
    <font>
      <i/>
      <sz val="9"/>
      <name val="Arial"/>
      <family val="2"/>
    </font>
    <font>
      <sz val="10"/>
      <color rgb="FF59595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0" fillId="0" borderId="0" xfId="1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4">
    <dxf>
      <font>
        <b/>
        <sz val="10"/>
        <color rgb="FFC00000"/>
        <name val="Arial"/>
        <charset val="1"/>
      </font>
    </dxf>
    <dxf>
      <font>
        <i/>
        <sz val="10"/>
        <color rgb="FF7F7F7F"/>
        <name val="Arial"/>
        <charset val="1"/>
      </font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E7E6E6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onents" displayName="Components" ref="A1:V65" totalsRowShown="0">
  <autoFilter ref="A1:V65" xr:uid="{00000000-0009-0000-0100-000001000000}"/>
  <tableColumns count="22">
    <tableColumn id="1" xr3:uid="{00000000-0010-0000-0000-000001000000}" name="ID"/>
    <tableColumn id="2" xr3:uid="{00000000-0010-0000-0000-000002000000}" name="Узел"/>
    <tableColumn id="3" xr3:uid="{00000000-0010-0000-0000-000003000000}" name="Функция"/>
    <tableColumn id="4" xr3:uid="{00000000-0010-0000-0000-000004000000}" name="Тип позиции"/>
    <tableColumn id="5" xr3:uid="{00000000-0010-0000-0000-000005000000}" name="Входит в модуль (ID)"/>
    <tableColumn id="6" xr3:uid="{00000000-0010-0000-0000-000006000000}" name="Название"/>
    <tableColumn id="7" xr3:uid="{00000000-0010-0000-0000-000007000000}" name="Определённость названия"/>
    <tableColumn id="8" xr3:uid="{00000000-0010-0000-0000-000008000000}" name="Статус решения"/>
    <tableColumn id="9" xr3:uid="{00000000-0010-0000-0000-000009000000}" name="№ спорного пункта"/>
    <tableColumn id="10" xr3:uid="{00000000-0010-0000-0000-00000A000000}" name="Кол-во на канал"/>
    <tableColumn id="11" xr3:uid="{00000000-0010-0000-0000-00000B000000}" name="Число каналов"/>
    <tableColumn id="12" xr3:uid="{00000000-0010-0000-0000-00000C000000}" name="Всего"/>
    <tableColumn id="13" xr3:uid="{00000000-0010-0000-0000-00000D000000}" name="Сторона"/>
    <tableColumn id="14" xr3:uid="{00000000-0010-0000-0000-00000E000000}" name="Размещение"/>
    <tableColumn id="15" xr3:uid="{00000000-0010-0000-0000-00000F000000}" name="Ссылка"/>
    <tableColumn id="16" xr3:uid="{00000000-0010-0000-0000-000010000000}" name="Цена за шт., ₽"/>
    <tableColumn id="17" xr3:uid="{00000000-0010-0000-0000-000011000000}" name="Есть, шт."/>
    <tableColumn id="18" xr3:uid="{00000000-0010-0000-0000-000012000000}" name="Докупить, шт."/>
    <tableColumn id="19" xr3:uid="{00000000-0010-0000-0000-000013000000}" name="Стоимость докупки, ₽"/>
    <tableColumn id="20" xr3:uid="{00000000-0010-0000-0000-000014000000}" name="Аккуратно!"/>
    <tableColumn id="21" xr3:uid="{00000000-0010-0000-0000-000015000000}" name="Источник"/>
    <tableColumn id="22" xr3:uid="{00000000-0010-0000-0000-000016000000}" name="Примечание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odules" displayName="Modules" ref="A1:J9" totalsRowShown="0">
  <autoFilter ref="A1:J9" xr:uid="{00000000-0009-0000-0100-000002000000}"/>
  <tableColumns count="10">
    <tableColumn id="1" xr3:uid="{00000000-0010-0000-0100-000001000000}" name="ID"/>
    <tableColumn id="2" xr3:uid="{00000000-0010-0000-0100-000002000000}" name="Название модуля"/>
    <tableColumn id="3" xr3:uid="{00000000-0010-0000-0100-000003000000}" name="Узел"/>
    <tableColumn id="4" xr3:uid="{00000000-0010-0000-0100-000004000000}" name="Статус"/>
    <tableColumn id="5" xr3:uid="{00000000-0010-0000-0100-000005000000}" name="Что уже на плате (см. «Внутри модуля»)"/>
    <tableColumn id="6" xr3:uid="{00000000-0010-0000-0100-000006000000}" name="Что нужно рядом на нашей плате"/>
    <tableColumn id="7" xr3:uid="{00000000-0010-0000-0100-000007000000}" name="Нужно, шт."/>
    <tableColumn id="8" xr3:uid="{00000000-0010-0000-0100-000008000000}" name="Есть, шт."/>
    <tableColumn id="9" xr3:uid="{00000000-0010-0000-0100-000009000000}" name="Докупить"/>
    <tableColumn id="10" xr3:uid="{00000000-0010-0000-0100-00000A000000}" name="Ссылка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jected" displayName="Rejected" ref="A1:F16" totalsRowShown="0">
  <autoFilter ref="A1:F16" xr:uid="{00000000-0009-0000-0100-000003000000}"/>
  <tableColumns count="6">
    <tableColumn id="1" xr3:uid="{00000000-0010-0000-0200-000001000000}" name="ID"/>
    <tableColumn id="2" xr3:uid="{00000000-0010-0000-0200-000002000000}" name="Узел"/>
    <tableColumn id="3" xr3:uid="{00000000-0010-0000-0200-000003000000}" name="Что было предложено / стояло в реестре"/>
    <tableColumn id="4" xr3:uid="{00000000-0010-0000-0200-000004000000}" name="Чем заменено"/>
    <tableColumn id="5" xr3:uid="{00000000-0010-0000-0200-000005000000}" name="Причина"/>
    <tableColumn id="6" xr3:uid="{00000000-0010-0000-0200-000006000000}" name="Дата решения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zon.ru/t/QWYR5Dy" TargetMode="External"/><Relationship Id="rId3" Type="http://schemas.openxmlformats.org/officeDocument/2006/relationships/hyperlink" Target="https://ozon.ru/t/v0TomWG" TargetMode="External"/><Relationship Id="rId7" Type="http://schemas.openxmlformats.org/officeDocument/2006/relationships/hyperlink" Target="https://ozon.ru/t/sXzB21l" TargetMode="External"/><Relationship Id="rId2" Type="http://schemas.openxmlformats.org/officeDocument/2006/relationships/hyperlink" Target="https://ozon.ru/t/zLw6TpD" TargetMode="External"/><Relationship Id="rId1" Type="http://schemas.openxmlformats.org/officeDocument/2006/relationships/hyperlink" Target="https://www.chipdip.ru/product/gst220a24-r7b-blok-pitaniya-24b-9.2a-221vt-mean-well-9000420376" TargetMode="External"/><Relationship Id="rId6" Type="http://schemas.openxmlformats.org/officeDocument/2006/relationships/hyperlink" Target="https://ozon.ru/t/3QXN2ZT" TargetMode="External"/><Relationship Id="rId5" Type="http://schemas.openxmlformats.org/officeDocument/2006/relationships/hyperlink" Target="https://ozon.ru/t/3%20QXN2ZT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ozon.ru/t/Wcg9F9p" TargetMode="External"/><Relationship Id="rId9" Type="http://schemas.openxmlformats.org/officeDocument/2006/relationships/hyperlink" Target="https://market.yandex.ru/cc/B6zFNi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hyperlink" Target="https://ozon.ru/t/Wcg9F9p" TargetMode="External"/><Relationship Id="rId7" Type="http://schemas.openxmlformats.org/officeDocument/2006/relationships/hyperlink" Target="https://market.yandex.ru/cc/AwZszU" TargetMode="External"/><Relationship Id="rId2" Type="http://schemas.openxmlformats.org/officeDocument/2006/relationships/hyperlink" Target="https://ozon.ru/t/v0TomWG" TargetMode="External"/><Relationship Id="rId1" Type="http://schemas.openxmlformats.org/officeDocument/2006/relationships/hyperlink" Target="https://www.chipdip.ru/product/gst220a24-r7b-blok-pitaniya-24b-9.2a-221vt-mean-well-9000420376" TargetMode="External"/><Relationship Id="rId6" Type="http://schemas.openxmlformats.org/officeDocument/2006/relationships/hyperlink" Target="https://ozon.ru/t/1fZ9B9H" TargetMode="External"/><Relationship Id="rId5" Type="http://schemas.openxmlformats.org/officeDocument/2006/relationships/hyperlink" Target="https://ozon.ru/t/tPvFr4r" TargetMode="External"/><Relationship Id="rId4" Type="http://schemas.openxmlformats.org/officeDocument/2006/relationships/hyperlink" Target="https://ozon.ru/t/QWYQvBC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tabSelected="1" zoomScaleNormal="100" workbookViewId="0">
      <pane xSplit="2" ySplit="1" topLeftCell="C18" activePane="bottomRight" state="frozen"/>
      <selection pane="topRight" activeCell="C1" sqref="C1"/>
      <selection pane="bottomLeft" activeCell="A2" sqref="A2"/>
      <selection pane="bottomRight" activeCell="O31" sqref="O31"/>
    </sheetView>
  </sheetViews>
  <sheetFormatPr baseColWidth="10" defaultColWidth="8.6640625" defaultRowHeight="15" x14ac:dyDescent="0.2"/>
  <cols>
    <col min="1" max="1" width="7" customWidth="1"/>
    <col min="2" max="2" width="14" customWidth="1"/>
    <col min="3" max="3" width="34" customWidth="1"/>
    <col min="4" max="4" width="13" customWidth="1"/>
    <col min="5" max="5" width="11" customWidth="1"/>
    <col min="6" max="6" width="34" customWidth="1"/>
    <col min="7" max="7" width="14" customWidth="1"/>
    <col min="8" max="8" width="13" customWidth="1"/>
    <col min="9" max="9" width="9" customWidth="1"/>
    <col min="10" max="11" width="8" customWidth="1"/>
    <col min="12" max="12" width="7" customWidth="1"/>
    <col min="13" max="13" width="11" customWidth="1"/>
    <col min="14" max="14" width="14" customWidth="1"/>
    <col min="15" max="15" width="22" customWidth="1"/>
    <col min="16" max="16" width="9" customWidth="1"/>
    <col min="17" max="17" width="7" customWidth="1"/>
    <col min="18" max="18" width="9" customWidth="1"/>
    <col min="19" max="19" width="11" customWidth="1"/>
    <col min="20" max="20" width="10" customWidth="1"/>
    <col min="21" max="21" width="18" customWidth="1"/>
    <col min="22" max="22" width="50" customWidth="1"/>
  </cols>
  <sheetData>
    <row r="1" spans="1:22" ht="4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23.25" customHeight="1" x14ac:dyDescent="0.2">
      <c r="A2" s="2" t="s">
        <v>22</v>
      </c>
      <c r="B2" s="2" t="s">
        <v>23</v>
      </c>
      <c r="C2" s="2" t="s">
        <v>24</v>
      </c>
      <c r="D2" s="2" t="s">
        <v>25</v>
      </c>
      <c r="E2" s="2"/>
      <c r="F2" s="2" t="s">
        <v>26</v>
      </c>
      <c r="G2" s="2" t="s">
        <v>27</v>
      </c>
      <c r="H2" s="2" t="s">
        <v>28</v>
      </c>
      <c r="I2" s="2"/>
      <c r="J2" s="2">
        <v>1</v>
      </c>
      <c r="K2" s="2">
        <v>1</v>
      </c>
      <c r="L2" s="2">
        <f t="shared" ref="L2:L33" si="0">J2*K2</f>
        <v>1</v>
      </c>
      <c r="M2" s="2" t="s">
        <v>29</v>
      </c>
      <c r="N2" s="2" t="s">
        <v>30</v>
      </c>
      <c r="O2" s="3" t="s">
        <v>31</v>
      </c>
      <c r="P2" s="2">
        <v>5860</v>
      </c>
      <c r="Q2" s="2">
        <v>0</v>
      </c>
      <c r="R2" s="2">
        <f t="shared" ref="R2:R33" si="1">IF(D2="Внутри модуля",0,MAX(0,L2-Q2))</f>
        <v>1</v>
      </c>
      <c r="S2" s="2">
        <f t="shared" ref="S2:S33" si="2">R2*P2</f>
        <v>5860</v>
      </c>
      <c r="T2" s="2" t="s">
        <v>32</v>
      </c>
      <c r="U2" s="2" t="s">
        <v>33</v>
      </c>
      <c r="V2" s="2" t="s">
        <v>34</v>
      </c>
    </row>
    <row r="3" spans="1:22" ht="23.25" customHeight="1" x14ac:dyDescent="0.2">
      <c r="A3" s="2" t="s">
        <v>35</v>
      </c>
      <c r="B3" s="2" t="s">
        <v>23</v>
      </c>
      <c r="C3" s="2" t="s">
        <v>36</v>
      </c>
      <c r="D3" s="2" t="s">
        <v>37</v>
      </c>
      <c r="E3" s="2"/>
      <c r="F3" s="2" t="s">
        <v>38</v>
      </c>
      <c r="G3" s="2" t="s">
        <v>27</v>
      </c>
      <c r="H3" s="2" t="s">
        <v>28</v>
      </c>
      <c r="I3" s="2"/>
      <c r="J3" s="2">
        <v>1</v>
      </c>
      <c r="K3" s="2">
        <v>1</v>
      </c>
      <c r="L3" s="2">
        <f t="shared" si="0"/>
        <v>1</v>
      </c>
      <c r="M3" s="2" t="s">
        <v>29</v>
      </c>
      <c r="N3" s="2" t="s">
        <v>39</v>
      </c>
      <c r="O3" s="3" t="s">
        <v>40</v>
      </c>
      <c r="P3" s="2">
        <v>376</v>
      </c>
      <c r="Q3" s="2">
        <v>0</v>
      </c>
      <c r="R3" s="2">
        <f t="shared" si="1"/>
        <v>1</v>
      </c>
      <c r="S3" s="2">
        <f t="shared" si="2"/>
        <v>376</v>
      </c>
      <c r="T3" s="2" t="s">
        <v>32</v>
      </c>
      <c r="U3" s="2" t="s">
        <v>33</v>
      </c>
      <c r="V3" s="2" t="s">
        <v>41</v>
      </c>
    </row>
    <row r="4" spans="1:22" ht="23.25" customHeight="1" x14ac:dyDescent="0.2">
      <c r="A4" s="2" t="s">
        <v>42</v>
      </c>
      <c r="B4" s="2" t="s">
        <v>23</v>
      </c>
      <c r="C4" s="2" t="s">
        <v>43</v>
      </c>
      <c r="D4" s="2" t="s">
        <v>37</v>
      </c>
      <c r="E4" s="2"/>
      <c r="F4" s="2" t="s">
        <v>44</v>
      </c>
      <c r="G4" s="2" t="s">
        <v>27</v>
      </c>
      <c r="H4" s="2" t="s">
        <v>28</v>
      </c>
      <c r="I4" s="2"/>
      <c r="J4" s="2">
        <v>1</v>
      </c>
      <c r="K4" s="2">
        <v>1</v>
      </c>
      <c r="L4" s="2">
        <f t="shared" si="0"/>
        <v>1</v>
      </c>
      <c r="M4" s="2" t="s">
        <v>29</v>
      </c>
      <c r="N4" s="2" t="s">
        <v>45</v>
      </c>
      <c r="O4" s="2" t="s">
        <v>46</v>
      </c>
      <c r="P4" s="2">
        <v>0</v>
      </c>
      <c r="Q4" s="2">
        <v>0</v>
      </c>
      <c r="R4" s="2">
        <f t="shared" si="1"/>
        <v>1</v>
      </c>
      <c r="S4" s="2">
        <f t="shared" si="2"/>
        <v>0</v>
      </c>
      <c r="T4" s="2" t="s">
        <v>32</v>
      </c>
      <c r="U4" s="2" t="s">
        <v>33</v>
      </c>
      <c r="V4" s="2" t="s">
        <v>47</v>
      </c>
    </row>
    <row r="5" spans="1:22" ht="23.25" customHeight="1" x14ac:dyDescent="0.2">
      <c r="A5" s="2" t="s">
        <v>48</v>
      </c>
      <c r="B5" s="2" t="s">
        <v>23</v>
      </c>
      <c r="C5" s="2" t="s">
        <v>49</v>
      </c>
      <c r="D5" s="2" t="s">
        <v>37</v>
      </c>
      <c r="E5" s="2"/>
      <c r="F5" s="2" t="s">
        <v>50</v>
      </c>
      <c r="G5" s="2" t="s">
        <v>27</v>
      </c>
      <c r="H5" s="2" t="s">
        <v>28</v>
      </c>
      <c r="I5" s="2"/>
      <c r="J5" s="2">
        <v>1</v>
      </c>
      <c r="K5" s="2">
        <v>1</v>
      </c>
      <c r="L5" s="2">
        <f t="shared" si="0"/>
        <v>1</v>
      </c>
      <c r="M5" s="2" t="s">
        <v>29</v>
      </c>
      <c r="N5" s="2" t="s">
        <v>51</v>
      </c>
      <c r="O5" s="2"/>
      <c r="P5" s="2">
        <v>0</v>
      </c>
      <c r="Q5" s="2">
        <v>0</v>
      </c>
      <c r="R5" s="2">
        <f t="shared" si="1"/>
        <v>1</v>
      </c>
      <c r="S5" s="2">
        <f t="shared" si="2"/>
        <v>0</v>
      </c>
      <c r="T5" s="2" t="s">
        <v>32</v>
      </c>
      <c r="U5" s="2" t="s">
        <v>52</v>
      </c>
      <c r="V5" s="2" t="s">
        <v>53</v>
      </c>
    </row>
    <row r="6" spans="1:22" ht="15" customHeight="1" x14ac:dyDescent="0.2">
      <c r="A6" s="2" t="s">
        <v>54</v>
      </c>
      <c r="B6" s="2" t="s">
        <v>23</v>
      </c>
      <c r="C6" s="2" t="s">
        <v>55</v>
      </c>
      <c r="D6" s="2" t="s">
        <v>25</v>
      </c>
      <c r="E6" s="2"/>
      <c r="F6" s="2" t="s">
        <v>56</v>
      </c>
      <c r="G6" s="2" t="s">
        <v>27</v>
      </c>
      <c r="H6" s="2" t="s">
        <v>28</v>
      </c>
      <c r="I6" s="2"/>
      <c r="J6" s="2">
        <v>1</v>
      </c>
      <c r="K6" s="2">
        <v>1</v>
      </c>
      <c r="L6" s="2">
        <f t="shared" si="0"/>
        <v>1</v>
      </c>
      <c r="M6" s="2" t="s">
        <v>29</v>
      </c>
      <c r="N6" s="2" t="s">
        <v>51</v>
      </c>
      <c r="O6" s="3" t="s">
        <v>57</v>
      </c>
      <c r="P6" s="2">
        <v>189</v>
      </c>
      <c r="Q6" s="2">
        <v>0</v>
      </c>
      <c r="R6" s="2">
        <f t="shared" si="1"/>
        <v>1</v>
      </c>
      <c r="S6" s="2">
        <f t="shared" si="2"/>
        <v>189</v>
      </c>
      <c r="T6" s="2" t="s">
        <v>32</v>
      </c>
      <c r="U6" s="2" t="s">
        <v>58</v>
      </c>
      <c r="V6" s="2" t="s">
        <v>59</v>
      </c>
    </row>
    <row r="7" spans="1:22" ht="23.25" customHeight="1" x14ac:dyDescent="0.2">
      <c r="A7" s="2" t="s">
        <v>60</v>
      </c>
      <c r="B7" s="2" t="s">
        <v>23</v>
      </c>
      <c r="C7" s="2" t="s">
        <v>61</v>
      </c>
      <c r="D7" s="2" t="s">
        <v>37</v>
      </c>
      <c r="E7" s="2"/>
      <c r="F7" s="2" t="s">
        <v>62</v>
      </c>
      <c r="G7" s="2" t="s">
        <v>27</v>
      </c>
      <c r="H7" s="2" t="s">
        <v>28</v>
      </c>
      <c r="I7" s="2"/>
      <c r="J7" s="2">
        <v>1</v>
      </c>
      <c r="K7" s="2">
        <v>1</v>
      </c>
      <c r="L7" s="2">
        <f t="shared" si="0"/>
        <v>1</v>
      </c>
      <c r="M7" s="2" t="s">
        <v>29</v>
      </c>
      <c r="N7" s="2" t="s">
        <v>39</v>
      </c>
      <c r="O7" s="3" t="s">
        <v>63</v>
      </c>
      <c r="P7" s="2">
        <v>68</v>
      </c>
      <c r="Q7" s="2">
        <v>0</v>
      </c>
      <c r="R7" s="2">
        <f t="shared" si="1"/>
        <v>1</v>
      </c>
      <c r="S7" s="2">
        <f t="shared" si="2"/>
        <v>68</v>
      </c>
      <c r="T7" s="2" t="s">
        <v>32</v>
      </c>
      <c r="U7" s="2" t="s">
        <v>58</v>
      </c>
      <c r="V7" s="2" t="s">
        <v>64</v>
      </c>
    </row>
    <row r="8" spans="1:22" ht="23.25" customHeight="1" x14ac:dyDescent="0.2">
      <c r="A8" s="2" t="s">
        <v>65</v>
      </c>
      <c r="B8" s="2" t="s">
        <v>23</v>
      </c>
      <c r="C8" s="2" t="s">
        <v>66</v>
      </c>
      <c r="D8" s="2" t="s">
        <v>37</v>
      </c>
      <c r="E8" s="2"/>
      <c r="F8" s="2" t="s">
        <v>439</v>
      </c>
      <c r="G8" s="2" t="s">
        <v>27</v>
      </c>
      <c r="H8" s="2" t="s">
        <v>28</v>
      </c>
      <c r="I8" s="2"/>
      <c r="J8" s="2">
        <v>1</v>
      </c>
      <c r="K8" s="2">
        <v>1</v>
      </c>
      <c r="L8" s="2">
        <f t="shared" si="0"/>
        <v>1</v>
      </c>
      <c r="M8" s="2" t="s">
        <v>29</v>
      </c>
      <c r="N8" s="2" t="s">
        <v>51</v>
      </c>
      <c r="O8" s="3" t="s">
        <v>67</v>
      </c>
      <c r="P8" s="2">
        <v>84</v>
      </c>
      <c r="Q8" s="2">
        <v>0</v>
      </c>
      <c r="R8" s="2">
        <f t="shared" si="1"/>
        <v>1</v>
      </c>
      <c r="S8" s="2">
        <f t="shared" si="2"/>
        <v>84</v>
      </c>
      <c r="T8" s="2" t="s">
        <v>32</v>
      </c>
      <c r="U8" s="2" t="s">
        <v>58</v>
      </c>
      <c r="V8" s="2" t="s">
        <v>68</v>
      </c>
    </row>
    <row r="9" spans="1:22" ht="15" customHeight="1" x14ac:dyDescent="0.2">
      <c r="A9" s="2" t="s">
        <v>69</v>
      </c>
      <c r="B9" s="2" t="s">
        <v>23</v>
      </c>
      <c r="C9" s="2" t="s">
        <v>70</v>
      </c>
      <c r="D9" s="2" t="s">
        <v>37</v>
      </c>
      <c r="E9" s="2"/>
      <c r="F9" s="2" t="s">
        <v>71</v>
      </c>
      <c r="G9" s="2" t="s">
        <v>27</v>
      </c>
      <c r="H9" s="2" t="s">
        <v>28</v>
      </c>
      <c r="I9" s="2"/>
      <c r="J9" s="2">
        <v>1</v>
      </c>
      <c r="K9" s="2">
        <v>1</v>
      </c>
      <c r="L9" s="2">
        <f t="shared" si="0"/>
        <v>1</v>
      </c>
      <c r="M9" s="2" t="s">
        <v>72</v>
      </c>
      <c r="N9" s="2" t="s">
        <v>51</v>
      </c>
      <c r="O9" s="3"/>
      <c r="P9" s="2">
        <v>0</v>
      </c>
      <c r="Q9" s="2">
        <v>0</v>
      </c>
      <c r="R9" s="2">
        <f t="shared" si="1"/>
        <v>1</v>
      </c>
      <c r="S9" s="2">
        <f t="shared" si="2"/>
        <v>0</v>
      </c>
      <c r="T9" s="2" t="s">
        <v>32</v>
      </c>
      <c r="U9" s="2" t="s">
        <v>33</v>
      </c>
      <c r="V9" s="2" t="s">
        <v>73</v>
      </c>
    </row>
    <row r="10" spans="1:22" ht="23.25" customHeight="1" x14ac:dyDescent="0.2">
      <c r="A10" s="2" t="s">
        <v>74</v>
      </c>
      <c r="B10" s="2" t="s">
        <v>23</v>
      </c>
      <c r="C10" s="2" t="s">
        <v>75</v>
      </c>
      <c r="D10" s="2" t="s">
        <v>37</v>
      </c>
      <c r="E10" s="2"/>
      <c r="F10" s="2" t="s">
        <v>76</v>
      </c>
      <c r="G10" s="2" t="s">
        <v>27</v>
      </c>
      <c r="H10" s="2" t="s">
        <v>28</v>
      </c>
      <c r="I10" s="2"/>
      <c r="J10" s="2">
        <v>1</v>
      </c>
      <c r="K10" s="2">
        <v>1</v>
      </c>
      <c r="L10" s="2">
        <f t="shared" si="0"/>
        <v>1</v>
      </c>
      <c r="M10" s="2" t="s">
        <v>77</v>
      </c>
      <c r="N10" s="2" t="s">
        <v>78</v>
      </c>
      <c r="O10" s="2"/>
      <c r="P10" s="2">
        <v>0</v>
      </c>
      <c r="Q10" s="2">
        <v>0</v>
      </c>
      <c r="R10" s="2">
        <f t="shared" si="1"/>
        <v>1</v>
      </c>
      <c r="S10" s="2">
        <f t="shared" si="2"/>
        <v>0</v>
      </c>
      <c r="T10" s="2" t="s">
        <v>32</v>
      </c>
      <c r="U10" s="2" t="s">
        <v>33</v>
      </c>
      <c r="V10" s="2" t="s">
        <v>79</v>
      </c>
    </row>
    <row r="11" spans="1:22" ht="23.25" customHeight="1" x14ac:dyDescent="0.2">
      <c r="A11" s="2" t="s">
        <v>80</v>
      </c>
      <c r="B11" s="2" t="s">
        <v>23</v>
      </c>
      <c r="C11" s="2" t="s">
        <v>81</v>
      </c>
      <c r="D11" s="2" t="s">
        <v>37</v>
      </c>
      <c r="E11" s="2"/>
      <c r="F11" s="2" t="s">
        <v>82</v>
      </c>
      <c r="G11" s="2" t="s">
        <v>27</v>
      </c>
      <c r="H11" s="2" t="s">
        <v>28</v>
      </c>
      <c r="I11" s="2"/>
      <c r="J11" s="2">
        <v>1</v>
      </c>
      <c r="K11" s="2">
        <v>1</v>
      </c>
      <c r="L11" s="2">
        <f t="shared" si="0"/>
        <v>1</v>
      </c>
      <c r="M11" s="2" t="s">
        <v>29</v>
      </c>
      <c r="N11" s="2" t="s">
        <v>51</v>
      </c>
      <c r="O11" s="2" t="s">
        <v>83</v>
      </c>
      <c r="P11" s="2">
        <v>0</v>
      </c>
      <c r="Q11" s="2">
        <v>0</v>
      </c>
      <c r="R11" s="2">
        <f t="shared" si="1"/>
        <v>1</v>
      </c>
      <c r="S11" s="2">
        <f t="shared" si="2"/>
        <v>0</v>
      </c>
      <c r="T11" s="2" t="s">
        <v>32</v>
      </c>
      <c r="U11" s="2" t="s">
        <v>84</v>
      </c>
      <c r="V11" s="2" t="s">
        <v>85</v>
      </c>
    </row>
    <row r="12" spans="1:22" ht="23.25" customHeight="1" x14ac:dyDescent="0.2">
      <c r="A12" s="2" t="s">
        <v>86</v>
      </c>
      <c r="B12" s="2" t="s">
        <v>87</v>
      </c>
      <c r="C12" s="2" t="s">
        <v>88</v>
      </c>
      <c r="D12" s="2" t="s">
        <v>25</v>
      </c>
      <c r="E12" s="2"/>
      <c r="F12" s="2" t="s">
        <v>89</v>
      </c>
      <c r="G12" s="2" t="s">
        <v>27</v>
      </c>
      <c r="H12" s="2" t="s">
        <v>28</v>
      </c>
      <c r="I12" s="2"/>
      <c r="J12" s="2">
        <v>1</v>
      </c>
      <c r="K12" s="2">
        <v>1</v>
      </c>
      <c r="L12" s="2">
        <f t="shared" si="0"/>
        <v>1</v>
      </c>
      <c r="M12" s="2" t="s">
        <v>77</v>
      </c>
      <c r="N12" s="2" t="s">
        <v>78</v>
      </c>
      <c r="O12" s="3" t="s">
        <v>90</v>
      </c>
      <c r="P12" s="2">
        <v>966</v>
      </c>
      <c r="Q12" s="2">
        <v>1</v>
      </c>
      <c r="R12" s="2">
        <f t="shared" si="1"/>
        <v>0</v>
      </c>
      <c r="S12" s="2">
        <f t="shared" si="2"/>
        <v>0</v>
      </c>
      <c r="T12" s="2" t="s">
        <v>91</v>
      </c>
      <c r="U12" s="2" t="s">
        <v>92</v>
      </c>
      <c r="V12" s="2" t="s">
        <v>93</v>
      </c>
    </row>
    <row r="13" spans="1:22" ht="23.25" customHeight="1" x14ac:dyDescent="0.2">
      <c r="A13" s="2" t="s">
        <v>94</v>
      </c>
      <c r="B13" s="2" t="s">
        <v>87</v>
      </c>
      <c r="C13" s="2" t="s">
        <v>95</v>
      </c>
      <c r="D13" s="2" t="s">
        <v>37</v>
      </c>
      <c r="E13" s="2"/>
      <c r="F13" s="2" t="s">
        <v>440</v>
      </c>
      <c r="G13" s="2" t="s">
        <v>27</v>
      </c>
      <c r="H13" s="2" t="s">
        <v>28</v>
      </c>
      <c r="I13" s="2"/>
      <c r="J13" s="2">
        <v>2</v>
      </c>
      <c r="K13" s="2">
        <v>1</v>
      </c>
      <c r="L13" s="2">
        <f t="shared" si="0"/>
        <v>2</v>
      </c>
      <c r="M13" s="2" t="s">
        <v>77</v>
      </c>
      <c r="N13" s="2" t="s">
        <v>78</v>
      </c>
      <c r="O13" s="2"/>
      <c r="P13" s="2">
        <v>0</v>
      </c>
      <c r="Q13" s="2">
        <v>0</v>
      </c>
      <c r="R13" s="2">
        <f t="shared" si="1"/>
        <v>2</v>
      </c>
      <c r="S13" s="2">
        <f t="shared" si="2"/>
        <v>0</v>
      </c>
      <c r="T13" s="2" t="s">
        <v>32</v>
      </c>
      <c r="U13" s="2" t="s">
        <v>96</v>
      </c>
      <c r="V13" s="2" t="s">
        <v>97</v>
      </c>
    </row>
    <row r="14" spans="1:22" ht="34.5" customHeight="1" x14ac:dyDescent="0.2">
      <c r="A14" s="2" t="s">
        <v>98</v>
      </c>
      <c r="B14" s="2" t="s">
        <v>99</v>
      </c>
      <c r="C14" s="2" t="s">
        <v>100</v>
      </c>
      <c r="D14" s="2" t="s">
        <v>25</v>
      </c>
      <c r="E14" s="2"/>
      <c r="F14" s="2" t="s">
        <v>101</v>
      </c>
      <c r="G14" s="2" t="s">
        <v>27</v>
      </c>
      <c r="H14" s="2" t="s">
        <v>28</v>
      </c>
      <c r="I14" s="2"/>
      <c r="J14" s="2">
        <v>1</v>
      </c>
      <c r="K14" s="2">
        <v>1</v>
      </c>
      <c r="L14" s="2">
        <f t="shared" si="0"/>
        <v>1</v>
      </c>
      <c r="M14" s="2" t="s">
        <v>77</v>
      </c>
      <c r="N14" s="2" t="s">
        <v>78</v>
      </c>
      <c r="O14" s="3" t="s">
        <v>102</v>
      </c>
      <c r="P14" s="2">
        <v>518</v>
      </c>
      <c r="Q14" s="2">
        <v>1</v>
      </c>
      <c r="R14" s="2">
        <f t="shared" si="1"/>
        <v>0</v>
      </c>
      <c r="S14" s="2">
        <f t="shared" si="2"/>
        <v>0</v>
      </c>
      <c r="T14" s="2" t="s">
        <v>32</v>
      </c>
      <c r="U14" s="2" t="s">
        <v>92</v>
      </c>
      <c r="V14" s="2" t="s">
        <v>103</v>
      </c>
    </row>
    <row r="15" spans="1:22" ht="28" x14ac:dyDescent="0.2">
      <c r="A15" s="2" t="s">
        <v>104</v>
      </c>
      <c r="B15" s="2" t="s">
        <v>99</v>
      </c>
      <c r="C15" s="2" t="s">
        <v>105</v>
      </c>
      <c r="D15" s="2" t="s">
        <v>37</v>
      </c>
      <c r="E15" s="2"/>
      <c r="F15" s="2" t="s">
        <v>441</v>
      </c>
      <c r="G15" s="2" t="s">
        <v>27</v>
      </c>
      <c r="H15" s="2" t="s">
        <v>28</v>
      </c>
      <c r="I15" s="2"/>
      <c r="J15" s="2">
        <v>1</v>
      </c>
      <c r="K15" s="2">
        <v>1</v>
      </c>
      <c r="L15" s="2">
        <f t="shared" si="0"/>
        <v>1</v>
      </c>
      <c r="M15" s="2" t="s">
        <v>77</v>
      </c>
      <c r="N15" s="2" t="s">
        <v>78</v>
      </c>
      <c r="O15" s="2"/>
      <c r="P15" s="2">
        <v>0</v>
      </c>
      <c r="Q15" s="2">
        <v>0</v>
      </c>
      <c r="R15" s="2">
        <f t="shared" si="1"/>
        <v>1</v>
      </c>
      <c r="S15" s="2">
        <f t="shared" si="2"/>
        <v>0</v>
      </c>
      <c r="T15" s="2" t="s">
        <v>32</v>
      </c>
      <c r="U15" s="2" t="s">
        <v>106</v>
      </c>
      <c r="V15" s="2" t="s">
        <v>107</v>
      </c>
    </row>
    <row r="16" spans="1:22" ht="23.25" customHeight="1" x14ac:dyDescent="0.2">
      <c r="A16" s="2" t="s">
        <v>108</v>
      </c>
      <c r="B16" s="2" t="s">
        <v>109</v>
      </c>
      <c r="C16" s="2" t="s">
        <v>110</v>
      </c>
      <c r="D16" s="2" t="s">
        <v>37</v>
      </c>
      <c r="E16" s="2"/>
      <c r="F16" s="2" t="s">
        <v>111</v>
      </c>
      <c r="G16" s="2" t="s">
        <v>27</v>
      </c>
      <c r="H16" s="2" t="s">
        <v>28</v>
      </c>
      <c r="I16" s="2"/>
      <c r="J16" s="2">
        <v>1</v>
      </c>
      <c r="K16" s="2">
        <v>1</v>
      </c>
      <c r="L16" s="2">
        <f t="shared" si="0"/>
        <v>1</v>
      </c>
      <c r="M16" s="2" t="s">
        <v>29</v>
      </c>
      <c r="N16" s="2" t="s">
        <v>39</v>
      </c>
      <c r="O16" s="14" t="s">
        <v>438</v>
      </c>
      <c r="P16" s="2">
        <v>487</v>
      </c>
      <c r="Q16" s="2">
        <v>0</v>
      </c>
      <c r="R16" s="2">
        <f t="shared" si="1"/>
        <v>1</v>
      </c>
      <c r="S16" s="2">
        <f t="shared" si="2"/>
        <v>487</v>
      </c>
      <c r="T16" s="2" t="s">
        <v>32</v>
      </c>
      <c r="U16" s="2" t="s">
        <v>33</v>
      </c>
      <c r="V16" s="2" t="s">
        <v>112</v>
      </c>
    </row>
    <row r="17" spans="1:22" ht="23.25" customHeight="1" x14ac:dyDescent="0.2">
      <c r="A17" s="2" t="s">
        <v>113</v>
      </c>
      <c r="B17" s="2" t="s">
        <v>109</v>
      </c>
      <c r="C17" s="2" t="s">
        <v>114</v>
      </c>
      <c r="D17" s="2" t="s">
        <v>37</v>
      </c>
      <c r="E17" s="2"/>
      <c r="F17" s="2" t="s">
        <v>442</v>
      </c>
      <c r="G17" s="2" t="s">
        <v>27</v>
      </c>
      <c r="H17" s="2" t="s">
        <v>28</v>
      </c>
      <c r="I17" s="2"/>
      <c r="J17" s="2">
        <v>1</v>
      </c>
      <c r="K17" s="2">
        <v>1</v>
      </c>
      <c r="L17" s="2">
        <f t="shared" si="0"/>
        <v>1</v>
      </c>
      <c r="M17" s="2" t="s">
        <v>29</v>
      </c>
      <c r="N17" s="2" t="s">
        <v>78</v>
      </c>
      <c r="O17" s="3" t="s">
        <v>115</v>
      </c>
      <c r="P17" s="2">
        <v>79</v>
      </c>
      <c r="Q17" s="2">
        <v>0</v>
      </c>
      <c r="R17" s="2">
        <f t="shared" si="1"/>
        <v>1</v>
      </c>
      <c r="S17" s="2">
        <f t="shared" si="2"/>
        <v>79</v>
      </c>
      <c r="T17" s="2" t="s">
        <v>32</v>
      </c>
      <c r="U17" s="2" t="s">
        <v>58</v>
      </c>
      <c r="V17" s="2"/>
    </row>
    <row r="18" spans="1:22" ht="34.5" customHeight="1" x14ac:dyDescent="0.2">
      <c r="A18" s="2" t="s">
        <v>116</v>
      </c>
      <c r="B18" s="2" t="s">
        <v>109</v>
      </c>
      <c r="C18" s="2" t="s">
        <v>117</v>
      </c>
      <c r="D18" s="2" t="s">
        <v>37</v>
      </c>
      <c r="E18" s="2"/>
      <c r="F18" s="2" t="s">
        <v>118</v>
      </c>
      <c r="G18" s="2" t="s">
        <v>27</v>
      </c>
      <c r="H18" s="2" t="s">
        <v>28</v>
      </c>
      <c r="I18" s="2"/>
      <c r="J18" s="2">
        <v>1</v>
      </c>
      <c r="K18" s="2">
        <v>1</v>
      </c>
      <c r="L18" s="2">
        <f t="shared" si="0"/>
        <v>1</v>
      </c>
      <c r="M18" s="2" t="s">
        <v>72</v>
      </c>
      <c r="N18" s="2" t="s">
        <v>78</v>
      </c>
      <c r="O18" s="4" t="s">
        <v>119</v>
      </c>
      <c r="P18" s="2">
        <v>73</v>
      </c>
      <c r="Q18" s="2">
        <v>0</v>
      </c>
      <c r="R18" s="2">
        <f t="shared" si="1"/>
        <v>1</v>
      </c>
      <c r="S18" s="2">
        <f t="shared" si="2"/>
        <v>73</v>
      </c>
      <c r="T18" s="2" t="s">
        <v>32</v>
      </c>
      <c r="U18" s="2" t="s">
        <v>33</v>
      </c>
      <c r="V18" s="2" t="s">
        <v>120</v>
      </c>
    </row>
    <row r="19" spans="1:22" ht="23.25" customHeight="1" x14ac:dyDescent="0.2">
      <c r="A19" s="2" t="s">
        <v>121</v>
      </c>
      <c r="B19" s="2" t="s">
        <v>109</v>
      </c>
      <c r="C19" s="2" t="s">
        <v>122</v>
      </c>
      <c r="D19" s="2" t="s">
        <v>37</v>
      </c>
      <c r="E19" s="2"/>
      <c r="F19" s="2" t="s">
        <v>443</v>
      </c>
      <c r="G19" s="2" t="s">
        <v>27</v>
      </c>
      <c r="H19" s="2" t="s">
        <v>28</v>
      </c>
      <c r="I19" s="2"/>
      <c r="J19" s="2">
        <v>2</v>
      </c>
      <c r="K19" s="2">
        <v>1</v>
      </c>
      <c r="L19" s="2">
        <f t="shared" si="0"/>
        <v>2</v>
      </c>
      <c r="M19" s="2" t="s">
        <v>72</v>
      </c>
      <c r="N19" s="2" t="s">
        <v>78</v>
      </c>
      <c r="O19" s="2"/>
      <c r="P19" s="2">
        <v>0</v>
      </c>
      <c r="Q19" s="2">
        <v>0</v>
      </c>
      <c r="R19" s="2">
        <f t="shared" si="1"/>
        <v>2</v>
      </c>
      <c r="S19" s="2">
        <f t="shared" si="2"/>
        <v>0</v>
      </c>
      <c r="T19" s="2" t="s">
        <v>32</v>
      </c>
      <c r="U19" s="2" t="s">
        <v>123</v>
      </c>
      <c r="V19" s="2" t="s">
        <v>124</v>
      </c>
    </row>
    <row r="20" spans="1:22" ht="23.25" customHeight="1" x14ac:dyDescent="0.2">
      <c r="A20" s="2" t="s">
        <v>125</v>
      </c>
      <c r="B20" s="2" t="s">
        <v>126</v>
      </c>
      <c r="C20" s="2" t="s">
        <v>127</v>
      </c>
      <c r="D20" s="2" t="s">
        <v>25</v>
      </c>
      <c r="E20" s="2"/>
      <c r="F20" s="2" t="s">
        <v>128</v>
      </c>
      <c r="G20" s="2" t="s">
        <v>27</v>
      </c>
      <c r="H20" s="2" t="s">
        <v>28</v>
      </c>
      <c r="I20" s="2"/>
      <c r="J20" s="2">
        <v>1</v>
      </c>
      <c r="K20" s="2">
        <v>4</v>
      </c>
      <c r="L20" s="2">
        <f t="shared" si="0"/>
        <v>4</v>
      </c>
      <c r="M20" s="2" t="s">
        <v>29</v>
      </c>
      <c r="N20" s="2" t="s">
        <v>129</v>
      </c>
      <c r="O20" s="3" t="s">
        <v>130</v>
      </c>
      <c r="P20" s="2">
        <v>0</v>
      </c>
      <c r="Q20" s="2">
        <v>4</v>
      </c>
      <c r="R20" s="2">
        <f t="shared" si="1"/>
        <v>0</v>
      </c>
      <c r="S20" s="2">
        <f t="shared" si="2"/>
        <v>0</v>
      </c>
      <c r="T20" s="2" t="s">
        <v>32</v>
      </c>
      <c r="U20" s="2" t="s">
        <v>123</v>
      </c>
      <c r="V20" s="2" t="s">
        <v>131</v>
      </c>
    </row>
    <row r="21" spans="1:22" ht="23.25" customHeight="1" x14ac:dyDescent="0.2">
      <c r="A21" s="2" t="s">
        <v>132</v>
      </c>
      <c r="B21" s="2" t="s">
        <v>126</v>
      </c>
      <c r="C21" s="2" t="s">
        <v>133</v>
      </c>
      <c r="D21" s="2" t="s">
        <v>134</v>
      </c>
      <c r="E21" s="2" t="s">
        <v>125</v>
      </c>
      <c r="F21" s="2" t="s">
        <v>135</v>
      </c>
      <c r="G21" s="2" t="s">
        <v>27</v>
      </c>
      <c r="H21" s="2" t="s">
        <v>28</v>
      </c>
      <c r="I21" s="2"/>
      <c r="J21" s="2">
        <v>1</v>
      </c>
      <c r="K21" s="2">
        <v>4</v>
      </c>
      <c r="L21" s="2">
        <f t="shared" si="0"/>
        <v>4</v>
      </c>
      <c r="M21" s="2" t="s">
        <v>29</v>
      </c>
      <c r="N21" s="2" t="s">
        <v>129</v>
      </c>
      <c r="O21" s="2"/>
      <c r="P21" s="2">
        <v>0</v>
      </c>
      <c r="Q21" s="2">
        <v>0</v>
      </c>
      <c r="R21" s="2">
        <f t="shared" si="1"/>
        <v>0</v>
      </c>
      <c r="S21" s="2">
        <f t="shared" si="2"/>
        <v>0</v>
      </c>
      <c r="T21" s="2" t="s">
        <v>32</v>
      </c>
      <c r="U21" s="2" t="s">
        <v>123</v>
      </c>
      <c r="V21" s="2" t="s">
        <v>136</v>
      </c>
    </row>
    <row r="22" spans="1:22" ht="23.25" customHeight="1" x14ac:dyDescent="0.2">
      <c r="A22" s="2" t="s">
        <v>137</v>
      </c>
      <c r="B22" s="2" t="s">
        <v>126</v>
      </c>
      <c r="C22" s="2" t="s">
        <v>138</v>
      </c>
      <c r="D22" s="2" t="s">
        <v>37</v>
      </c>
      <c r="E22" s="2"/>
      <c r="F22" s="2" t="s">
        <v>139</v>
      </c>
      <c r="G22" s="2" t="s">
        <v>27</v>
      </c>
      <c r="H22" s="2" t="s">
        <v>28</v>
      </c>
      <c r="I22" s="2"/>
      <c r="J22" s="2">
        <v>2</v>
      </c>
      <c r="K22" s="2">
        <v>4</v>
      </c>
      <c r="L22" s="2">
        <f t="shared" si="0"/>
        <v>8</v>
      </c>
      <c r="M22" s="2" t="s">
        <v>72</v>
      </c>
      <c r="N22" s="2" t="s">
        <v>129</v>
      </c>
      <c r="O22" s="2"/>
      <c r="P22" s="2">
        <v>0</v>
      </c>
      <c r="Q22" s="2">
        <v>0</v>
      </c>
      <c r="R22" s="2">
        <f t="shared" si="1"/>
        <v>8</v>
      </c>
      <c r="S22" s="2">
        <f t="shared" si="2"/>
        <v>0</v>
      </c>
      <c r="T22" s="2" t="s">
        <v>32</v>
      </c>
      <c r="U22" s="2" t="s">
        <v>140</v>
      </c>
      <c r="V22" s="2" t="s">
        <v>141</v>
      </c>
    </row>
    <row r="23" spans="1:22" ht="23.25" customHeight="1" x14ac:dyDescent="0.2">
      <c r="A23" s="2" t="s">
        <v>142</v>
      </c>
      <c r="B23" s="2" t="s">
        <v>126</v>
      </c>
      <c r="C23" s="2" t="s">
        <v>143</v>
      </c>
      <c r="D23" s="2" t="s">
        <v>37</v>
      </c>
      <c r="E23" s="2"/>
      <c r="F23" s="2" t="s">
        <v>444</v>
      </c>
      <c r="G23" s="2" t="s">
        <v>27</v>
      </c>
      <c r="H23" s="2" t="s">
        <v>28</v>
      </c>
      <c r="I23" s="2"/>
      <c r="J23" s="2">
        <v>2</v>
      </c>
      <c r="K23" s="2">
        <v>4</v>
      </c>
      <c r="L23" s="2">
        <f t="shared" si="0"/>
        <v>8</v>
      </c>
      <c r="M23" s="2" t="s">
        <v>77</v>
      </c>
      <c r="N23" s="2" t="s">
        <v>129</v>
      </c>
      <c r="O23" s="2"/>
      <c r="P23" s="2">
        <v>0</v>
      </c>
      <c r="Q23" s="2">
        <v>0</v>
      </c>
      <c r="R23" s="2">
        <f t="shared" si="1"/>
        <v>8</v>
      </c>
      <c r="S23" s="2">
        <f t="shared" si="2"/>
        <v>0</v>
      </c>
      <c r="T23" s="2" t="s">
        <v>32</v>
      </c>
      <c r="U23" s="2" t="s">
        <v>140</v>
      </c>
      <c r="V23" s="2" t="s">
        <v>144</v>
      </c>
    </row>
    <row r="24" spans="1:22" ht="23.25" customHeight="1" x14ac:dyDescent="0.2">
      <c r="A24" s="2" t="s">
        <v>145</v>
      </c>
      <c r="B24" s="2" t="s">
        <v>126</v>
      </c>
      <c r="C24" s="2" t="s">
        <v>146</v>
      </c>
      <c r="D24" s="2" t="s">
        <v>37</v>
      </c>
      <c r="E24" s="2"/>
      <c r="F24" s="2" t="s">
        <v>445</v>
      </c>
      <c r="G24" s="2" t="s">
        <v>27</v>
      </c>
      <c r="H24" s="2" t="s">
        <v>28</v>
      </c>
      <c r="I24" s="2"/>
      <c r="J24" s="2">
        <v>2</v>
      </c>
      <c r="K24" s="2">
        <v>4</v>
      </c>
      <c r="L24" s="2">
        <f t="shared" si="0"/>
        <v>8</v>
      </c>
      <c r="M24" s="2" t="s">
        <v>29</v>
      </c>
      <c r="N24" s="2" t="s">
        <v>129</v>
      </c>
      <c r="O24" s="2"/>
      <c r="P24" s="2">
        <v>0</v>
      </c>
      <c r="Q24" s="2">
        <v>0</v>
      </c>
      <c r="R24" s="2">
        <f t="shared" si="1"/>
        <v>8</v>
      </c>
      <c r="S24" s="2">
        <f t="shared" si="2"/>
        <v>0</v>
      </c>
      <c r="T24" s="2" t="s">
        <v>32</v>
      </c>
      <c r="U24" s="2" t="s">
        <v>123</v>
      </c>
      <c r="V24" s="2" t="s">
        <v>147</v>
      </c>
    </row>
    <row r="25" spans="1:22" ht="23.25" customHeight="1" x14ac:dyDescent="0.2">
      <c r="A25" s="2" t="s">
        <v>148</v>
      </c>
      <c r="B25" s="2" t="s">
        <v>126</v>
      </c>
      <c r="C25" s="2" t="s">
        <v>149</v>
      </c>
      <c r="D25" s="2" t="s">
        <v>37</v>
      </c>
      <c r="E25" s="2"/>
      <c r="F25" s="2" t="s">
        <v>150</v>
      </c>
      <c r="G25" s="2" t="s">
        <v>27</v>
      </c>
      <c r="H25" s="2" t="s">
        <v>28</v>
      </c>
      <c r="I25" s="2"/>
      <c r="J25" s="2">
        <v>1</v>
      </c>
      <c r="K25" s="2">
        <v>4</v>
      </c>
      <c r="L25" s="2">
        <f t="shared" si="0"/>
        <v>4</v>
      </c>
      <c r="M25" s="2" t="s">
        <v>72</v>
      </c>
      <c r="N25" s="2" t="s">
        <v>129</v>
      </c>
      <c r="O25" s="3" t="s">
        <v>119</v>
      </c>
      <c r="P25" s="2">
        <v>73</v>
      </c>
      <c r="Q25" s="2">
        <v>0</v>
      </c>
      <c r="R25" s="2">
        <f t="shared" si="1"/>
        <v>4</v>
      </c>
      <c r="S25" s="2">
        <f t="shared" si="2"/>
        <v>292</v>
      </c>
      <c r="T25" s="2" t="s">
        <v>32</v>
      </c>
      <c r="U25" s="2" t="s">
        <v>151</v>
      </c>
      <c r="V25" s="2" t="s">
        <v>152</v>
      </c>
    </row>
    <row r="26" spans="1:22" ht="23.25" customHeight="1" x14ac:dyDescent="0.2">
      <c r="A26" s="2" t="s">
        <v>153</v>
      </c>
      <c r="B26" s="2" t="s">
        <v>126</v>
      </c>
      <c r="C26" s="2" t="s">
        <v>154</v>
      </c>
      <c r="D26" s="2" t="s">
        <v>37</v>
      </c>
      <c r="E26" s="2"/>
      <c r="F26" s="2" t="s">
        <v>439</v>
      </c>
      <c r="G26" s="2" t="s">
        <v>27</v>
      </c>
      <c r="H26" s="2" t="s">
        <v>28</v>
      </c>
      <c r="I26" s="2"/>
      <c r="J26" s="2">
        <v>1</v>
      </c>
      <c r="K26" s="2">
        <v>4</v>
      </c>
      <c r="L26" s="2">
        <f t="shared" si="0"/>
        <v>4</v>
      </c>
      <c r="M26" s="2" t="s">
        <v>77</v>
      </c>
      <c r="N26" s="2" t="s">
        <v>129</v>
      </c>
      <c r="O26" s="3" t="s">
        <v>67</v>
      </c>
      <c r="P26" s="2">
        <v>84</v>
      </c>
      <c r="Q26" s="2">
        <v>0</v>
      </c>
      <c r="R26" s="2">
        <f t="shared" si="1"/>
        <v>4</v>
      </c>
      <c r="S26" s="2">
        <f t="shared" si="2"/>
        <v>336</v>
      </c>
      <c r="T26" s="2" t="s">
        <v>32</v>
      </c>
      <c r="U26" s="2" t="s">
        <v>151</v>
      </c>
      <c r="V26" s="2" t="s">
        <v>155</v>
      </c>
    </row>
    <row r="27" spans="1:22" ht="23.25" customHeight="1" x14ac:dyDescent="0.2">
      <c r="A27" s="2" t="s">
        <v>156</v>
      </c>
      <c r="B27" s="2" t="s">
        <v>126</v>
      </c>
      <c r="C27" s="2" t="s">
        <v>157</v>
      </c>
      <c r="D27" s="2" t="s">
        <v>37</v>
      </c>
      <c r="E27" s="2"/>
      <c r="F27" s="2" t="s">
        <v>158</v>
      </c>
      <c r="G27" s="2" t="s">
        <v>27</v>
      </c>
      <c r="H27" s="2" t="s">
        <v>28</v>
      </c>
      <c r="I27" s="2"/>
      <c r="J27" s="2">
        <v>1</v>
      </c>
      <c r="K27" s="2">
        <v>4</v>
      </c>
      <c r="L27" s="2">
        <f t="shared" si="0"/>
        <v>4</v>
      </c>
      <c r="M27" s="2" t="s">
        <v>29</v>
      </c>
      <c r="N27" s="2" t="s">
        <v>129</v>
      </c>
      <c r="O27" s="3" t="s">
        <v>159</v>
      </c>
      <c r="P27" s="2">
        <v>108</v>
      </c>
      <c r="Q27" s="2">
        <v>0</v>
      </c>
      <c r="R27" s="2">
        <f t="shared" si="1"/>
        <v>4</v>
      </c>
      <c r="S27" s="2">
        <f t="shared" si="2"/>
        <v>432</v>
      </c>
      <c r="T27" s="2" t="s">
        <v>32</v>
      </c>
      <c r="U27" s="2" t="s">
        <v>123</v>
      </c>
      <c r="V27" s="2" t="s">
        <v>160</v>
      </c>
    </row>
    <row r="28" spans="1:22" ht="23.25" customHeight="1" x14ac:dyDescent="0.2">
      <c r="A28" s="2" t="s">
        <v>161</v>
      </c>
      <c r="B28" s="2" t="s">
        <v>126</v>
      </c>
      <c r="C28" s="2" t="s">
        <v>162</v>
      </c>
      <c r="D28" s="2" t="s">
        <v>25</v>
      </c>
      <c r="E28" s="2"/>
      <c r="F28" s="2" t="s">
        <v>163</v>
      </c>
      <c r="G28" s="2" t="s">
        <v>27</v>
      </c>
      <c r="H28" s="2" t="s">
        <v>28</v>
      </c>
      <c r="I28" s="2"/>
      <c r="J28" s="2">
        <v>1</v>
      </c>
      <c r="K28" s="2">
        <v>4</v>
      </c>
      <c r="L28" s="2">
        <f t="shared" si="0"/>
        <v>4</v>
      </c>
      <c r="M28" s="2" t="s">
        <v>72</v>
      </c>
      <c r="N28" s="2" t="s">
        <v>129</v>
      </c>
      <c r="O28" s="3" t="s">
        <v>164</v>
      </c>
      <c r="P28" s="2">
        <v>130</v>
      </c>
      <c r="Q28" s="2">
        <v>4</v>
      </c>
      <c r="R28" s="2">
        <f t="shared" si="1"/>
        <v>0</v>
      </c>
      <c r="S28" s="2">
        <f t="shared" si="2"/>
        <v>0</v>
      </c>
      <c r="T28" s="2" t="s">
        <v>32</v>
      </c>
      <c r="U28" s="2" t="s">
        <v>165</v>
      </c>
      <c r="V28" s="2" t="s">
        <v>166</v>
      </c>
    </row>
    <row r="29" spans="1:22" ht="23.25" customHeight="1" x14ac:dyDescent="0.2">
      <c r="A29" s="2" t="s">
        <v>167</v>
      </c>
      <c r="B29" s="2" t="s">
        <v>126</v>
      </c>
      <c r="C29" s="2" t="s">
        <v>168</v>
      </c>
      <c r="D29" s="2" t="s">
        <v>134</v>
      </c>
      <c r="E29" s="2" t="s">
        <v>161</v>
      </c>
      <c r="F29" s="2" t="s">
        <v>169</v>
      </c>
      <c r="G29" s="2" t="s">
        <v>27</v>
      </c>
      <c r="H29" s="2" t="s">
        <v>28</v>
      </c>
      <c r="I29" s="2"/>
      <c r="J29" s="2">
        <v>1</v>
      </c>
      <c r="K29" s="2">
        <v>4</v>
      </c>
      <c r="L29" s="2">
        <f t="shared" si="0"/>
        <v>4</v>
      </c>
      <c r="M29" s="2" t="s">
        <v>72</v>
      </c>
      <c r="N29" s="2" t="s">
        <v>129</v>
      </c>
      <c r="O29" s="2"/>
      <c r="P29" s="2">
        <v>0</v>
      </c>
      <c r="Q29" s="2">
        <v>0</v>
      </c>
      <c r="R29" s="2">
        <f t="shared" si="1"/>
        <v>0</v>
      </c>
      <c r="S29" s="2">
        <f t="shared" si="2"/>
        <v>0</v>
      </c>
      <c r="T29" s="2" t="s">
        <v>32</v>
      </c>
      <c r="U29" s="2" t="s">
        <v>170</v>
      </c>
      <c r="V29" s="2" t="s">
        <v>171</v>
      </c>
    </row>
    <row r="30" spans="1:22" ht="22" customHeight="1" x14ac:dyDescent="0.2">
      <c r="A30" s="2" t="s">
        <v>172</v>
      </c>
      <c r="B30" s="2" t="s">
        <v>126</v>
      </c>
      <c r="C30" s="2" t="s">
        <v>173</v>
      </c>
      <c r="D30" s="2" t="s">
        <v>37</v>
      </c>
      <c r="E30" s="2"/>
      <c r="F30" s="2" t="s">
        <v>446</v>
      </c>
      <c r="G30" s="2" t="s">
        <v>27</v>
      </c>
      <c r="H30" s="2" t="s">
        <v>28</v>
      </c>
      <c r="I30" s="2"/>
      <c r="J30" s="2">
        <v>2</v>
      </c>
      <c r="K30" s="2">
        <v>4</v>
      </c>
      <c r="L30" s="2">
        <f t="shared" si="0"/>
        <v>8</v>
      </c>
      <c r="M30" s="2" t="s">
        <v>77</v>
      </c>
      <c r="N30" s="2" t="s">
        <v>129</v>
      </c>
      <c r="O30" s="2"/>
      <c r="P30" s="2">
        <v>0</v>
      </c>
      <c r="Q30" s="2">
        <v>0</v>
      </c>
      <c r="R30" s="2">
        <f t="shared" si="1"/>
        <v>8</v>
      </c>
      <c r="S30" s="2">
        <f t="shared" si="2"/>
        <v>0</v>
      </c>
      <c r="T30" s="2" t="s">
        <v>32</v>
      </c>
      <c r="U30" s="2" t="s">
        <v>123</v>
      </c>
      <c r="V30" s="2" t="s">
        <v>174</v>
      </c>
    </row>
    <row r="31" spans="1:22" ht="23.25" customHeight="1" x14ac:dyDescent="0.2">
      <c r="A31" s="2" t="s">
        <v>175</v>
      </c>
      <c r="B31" s="2" t="s">
        <v>126</v>
      </c>
      <c r="C31" s="2" t="s">
        <v>176</v>
      </c>
      <c r="D31" s="2" t="s">
        <v>37</v>
      </c>
      <c r="E31" s="2"/>
      <c r="F31" s="2" t="s">
        <v>177</v>
      </c>
      <c r="G31" s="2" t="s">
        <v>27</v>
      </c>
      <c r="H31" s="2" t="s">
        <v>28</v>
      </c>
      <c r="I31" s="2"/>
      <c r="J31" s="2">
        <v>1</v>
      </c>
      <c r="K31" s="2">
        <v>4</v>
      </c>
      <c r="L31" s="2">
        <f t="shared" si="0"/>
        <v>4</v>
      </c>
      <c r="M31" s="2" t="s">
        <v>29</v>
      </c>
      <c r="N31" s="2" t="s">
        <v>178</v>
      </c>
      <c r="O31" s="14" t="s">
        <v>179</v>
      </c>
      <c r="P31" s="2">
        <v>2184</v>
      </c>
      <c r="Q31" s="2">
        <v>0</v>
      </c>
      <c r="R31" s="2">
        <f t="shared" si="1"/>
        <v>4</v>
      </c>
      <c r="S31" s="2">
        <f t="shared" si="2"/>
        <v>8736</v>
      </c>
      <c r="T31" s="2" t="s">
        <v>91</v>
      </c>
      <c r="U31" s="2" t="s">
        <v>123</v>
      </c>
      <c r="V31" s="2" t="s">
        <v>180</v>
      </c>
    </row>
    <row r="32" spans="1:22" ht="23.25" customHeight="1" x14ac:dyDescent="0.2">
      <c r="A32" s="2" t="s">
        <v>181</v>
      </c>
      <c r="B32" s="2" t="s">
        <v>99</v>
      </c>
      <c r="C32" s="2" t="s">
        <v>182</v>
      </c>
      <c r="D32" s="2" t="s">
        <v>25</v>
      </c>
      <c r="E32" s="2"/>
      <c r="F32" s="2" t="s">
        <v>183</v>
      </c>
      <c r="G32" s="2" t="s">
        <v>27</v>
      </c>
      <c r="H32" s="2" t="s">
        <v>28</v>
      </c>
      <c r="I32" s="2"/>
      <c r="J32" s="2">
        <v>1</v>
      </c>
      <c r="K32" s="2">
        <v>4</v>
      </c>
      <c r="L32" s="2">
        <f t="shared" si="0"/>
        <v>4</v>
      </c>
      <c r="M32" s="2" t="s">
        <v>77</v>
      </c>
      <c r="N32" s="2" t="s">
        <v>178</v>
      </c>
      <c r="O32" s="2"/>
      <c r="P32" s="2">
        <v>0</v>
      </c>
      <c r="Q32" s="2">
        <v>4</v>
      </c>
      <c r="R32" s="2">
        <f t="shared" si="1"/>
        <v>0</v>
      </c>
      <c r="S32" s="2">
        <f t="shared" si="2"/>
        <v>0</v>
      </c>
      <c r="T32" s="2" t="s">
        <v>32</v>
      </c>
      <c r="U32" s="2" t="s">
        <v>151</v>
      </c>
      <c r="V32" s="2" t="s">
        <v>184</v>
      </c>
    </row>
    <row r="33" spans="1:22" ht="23.25" customHeight="1" x14ac:dyDescent="0.2">
      <c r="A33" s="2" t="s">
        <v>185</v>
      </c>
      <c r="B33" s="2" t="s">
        <v>99</v>
      </c>
      <c r="C33" s="2" t="s">
        <v>186</v>
      </c>
      <c r="D33" s="2" t="s">
        <v>134</v>
      </c>
      <c r="E33" s="2" t="s">
        <v>181</v>
      </c>
      <c r="F33" s="2" t="s">
        <v>187</v>
      </c>
      <c r="G33" s="2" t="s">
        <v>27</v>
      </c>
      <c r="H33" s="2" t="s">
        <v>28</v>
      </c>
      <c r="I33" s="2"/>
      <c r="J33" s="2">
        <v>1</v>
      </c>
      <c r="K33" s="2">
        <v>4</v>
      </c>
      <c r="L33" s="2">
        <f t="shared" si="0"/>
        <v>4</v>
      </c>
      <c r="M33" s="2" t="s">
        <v>77</v>
      </c>
      <c r="N33" s="2" t="s">
        <v>178</v>
      </c>
      <c r="O33" s="2"/>
      <c r="P33" s="2">
        <v>0</v>
      </c>
      <c r="Q33" s="2">
        <v>0</v>
      </c>
      <c r="R33" s="2">
        <f t="shared" si="1"/>
        <v>0</v>
      </c>
      <c r="S33" s="2">
        <f t="shared" si="2"/>
        <v>0</v>
      </c>
      <c r="T33" s="2" t="s">
        <v>32</v>
      </c>
      <c r="U33" s="2" t="s">
        <v>170</v>
      </c>
      <c r="V33" s="2" t="s">
        <v>188</v>
      </c>
    </row>
    <row r="34" spans="1:22" ht="23.25" customHeight="1" x14ac:dyDescent="0.2">
      <c r="A34" s="2" t="s">
        <v>189</v>
      </c>
      <c r="B34" s="2" t="s">
        <v>99</v>
      </c>
      <c r="C34" s="2" t="s">
        <v>190</v>
      </c>
      <c r="D34" s="2" t="s">
        <v>134</v>
      </c>
      <c r="E34" s="2" t="s">
        <v>181</v>
      </c>
      <c r="F34" s="2" t="s">
        <v>191</v>
      </c>
      <c r="G34" s="2" t="s">
        <v>192</v>
      </c>
      <c r="H34" s="2" t="s">
        <v>193</v>
      </c>
      <c r="I34" s="2"/>
      <c r="J34" s="2">
        <v>2</v>
      </c>
      <c r="K34" s="2">
        <v>4</v>
      </c>
      <c r="L34" s="2">
        <f t="shared" ref="L34:L63" si="3">J34*K34</f>
        <v>8</v>
      </c>
      <c r="M34" s="2" t="s">
        <v>77</v>
      </c>
      <c r="N34" s="2" t="s">
        <v>178</v>
      </c>
      <c r="O34" s="2"/>
      <c r="P34" s="2">
        <v>0</v>
      </c>
      <c r="Q34" s="2">
        <v>0</v>
      </c>
      <c r="R34" s="2">
        <f t="shared" ref="R34:R63" si="4">IF(D34="Внутри модуля",0,MAX(0,L34-Q34))</f>
        <v>0</v>
      </c>
      <c r="S34" s="2">
        <f t="shared" ref="S34:S63" si="5">R34*P34</f>
        <v>0</v>
      </c>
      <c r="T34" s="2" t="s">
        <v>32</v>
      </c>
      <c r="U34" s="2" t="s">
        <v>106</v>
      </c>
      <c r="V34" s="2" t="s">
        <v>194</v>
      </c>
    </row>
    <row r="35" spans="1:22" ht="23.25" customHeight="1" x14ac:dyDescent="0.2">
      <c r="A35" s="2" t="s">
        <v>195</v>
      </c>
      <c r="B35" s="2" t="s">
        <v>109</v>
      </c>
      <c r="C35" s="2" t="s">
        <v>196</v>
      </c>
      <c r="D35" s="2" t="s">
        <v>37</v>
      </c>
      <c r="E35" s="2"/>
      <c r="F35" s="2" t="s">
        <v>197</v>
      </c>
      <c r="G35" s="2" t="s">
        <v>27</v>
      </c>
      <c r="H35" s="2" t="s">
        <v>28</v>
      </c>
      <c r="I35" s="2"/>
      <c r="J35" s="2">
        <v>4</v>
      </c>
      <c r="K35" s="2">
        <v>4</v>
      </c>
      <c r="L35" s="2">
        <f t="shared" si="3"/>
        <v>16</v>
      </c>
      <c r="M35" s="2" t="s">
        <v>72</v>
      </c>
      <c r="N35" s="2" t="s">
        <v>129</v>
      </c>
      <c r="O35" s="3" t="s">
        <v>198</v>
      </c>
      <c r="P35" s="2">
        <v>51</v>
      </c>
      <c r="Q35" s="2">
        <v>0</v>
      </c>
      <c r="R35" s="2">
        <f t="shared" si="4"/>
        <v>16</v>
      </c>
      <c r="S35" s="2">
        <f t="shared" si="5"/>
        <v>816</v>
      </c>
      <c r="T35" s="2" t="s">
        <v>32</v>
      </c>
      <c r="U35" s="2" t="s">
        <v>199</v>
      </c>
      <c r="V35" s="2" t="s">
        <v>200</v>
      </c>
    </row>
    <row r="36" spans="1:22" ht="23.25" customHeight="1" x14ac:dyDescent="0.2">
      <c r="A36" s="2" t="s">
        <v>459</v>
      </c>
      <c r="B36" s="2" t="s">
        <v>109</v>
      </c>
      <c r="C36" s="2" t="s">
        <v>460</v>
      </c>
      <c r="D36" s="2" t="s">
        <v>37</v>
      </c>
      <c r="E36" s="2"/>
      <c r="F36" s="2" t="s">
        <v>461</v>
      </c>
      <c r="G36" s="2" t="s">
        <v>27</v>
      </c>
      <c r="H36" s="2" t="s">
        <v>28</v>
      </c>
      <c r="I36" s="2"/>
      <c r="J36" s="2">
        <v>9</v>
      </c>
      <c r="K36" s="2">
        <v>1</v>
      </c>
      <c r="L36" s="2">
        <f>J36*K36</f>
        <v>9</v>
      </c>
      <c r="M36" s="2" t="s">
        <v>77</v>
      </c>
      <c r="N36" s="2" t="s">
        <v>201</v>
      </c>
      <c r="O36" s="2"/>
      <c r="P36" s="2">
        <v>0</v>
      </c>
      <c r="Q36" s="2">
        <v>0</v>
      </c>
      <c r="R36" s="2">
        <f>L36-Q36</f>
        <v>9</v>
      </c>
      <c r="S36" s="2">
        <f>R36*P36</f>
        <v>0</v>
      </c>
      <c r="T36" s="2" t="s">
        <v>32</v>
      </c>
      <c r="U36" s="2" t="s">
        <v>462</v>
      </c>
      <c r="V36" s="2" t="s">
        <v>463</v>
      </c>
    </row>
    <row r="37" spans="1:22" ht="23.25" customHeight="1" x14ac:dyDescent="0.2">
      <c r="A37" s="2" t="s">
        <v>202</v>
      </c>
      <c r="B37" s="2" t="s">
        <v>109</v>
      </c>
      <c r="C37" s="2" t="s">
        <v>203</v>
      </c>
      <c r="D37" s="2" t="s">
        <v>37</v>
      </c>
      <c r="E37" s="2"/>
      <c r="F37" s="2" t="s">
        <v>447</v>
      </c>
      <c r="G37" s="2" t="s">
        <v>27</v>
      </c>
      <c r="H37" s="2" t="s">
        <v>28</v>
      </c>
      <c r="I37" s="2"/>
      <c r="J37" s="2">
        <v>2</v>
      </c>
      <c r="K37" s="2">
        <v>4</v>
      </c>
      <c r="L37" s="2">
        <f t="shared" si="3"/>
        <v>8</v>
      </c>
      <c r="M37" s="2" t="s">
        <v>77</v>
      </c>
      <c r="N37" s="2" t="s">
        <v>201</v>
      </c>
      <c r="O37" s="2"/>
      <c r="P37" s="2">
        <v>0</v>
      </c>
      <c r="Q37" s="2">
        <v>0</v>
      </c>
      <c r="R37" s="2">
        <f t="shared" si="4"/>
        <v>8</v>
      </c>
      <c r="S37" s="2">
        <f t="shared" si="5"/>
        <v>0</v>
      </c>
      <c r="T37" s="2" t="s">
        <v>91</v>
      </c>
      <c r="U37" s="2" t="s">
        <v>123</v>
      </c>
      <c r="V37" s="2" t="s">
        <v>204</v>
      </c>
    </row>
    <row r="38" spans="1:22" ht="34.5" customHeight="1" x14ac:dyDescent="0.2">
      <c r="A38" s="2" t="s">
        <v>205</v>
      </c>
      <c r="B38" s="2" t="s">
        <v>109</v>
      </c>
      <c r="C38" s="2" t="s">
        <v>206</v>
      </c>
      <c r="D38" s="2" t="s">
        <v>37</v>
      </c>
      <c r="E38" s="2"/>
      <c r="F38" s="2" t="s">
        <v>207</v>
      </c>
      <c r="G38" s="2" t="s">
        <v>27</v>
      </c>
      <c r="H38" s="2" t="s">
        <v>28</v>
      </c>
      <c r="I38" s="2"/>
      <c r="J38" s="2">
        <v>2</v>
      </c>
      <c r="K38" s="2">
        <v>4</v>
      </c>
      <c r="L38" s="2">
        <f t="shared" si="3"/>
        <v>8</v>
      </c>
      <c r="M38" s="2" t="s">
        <v>77</v>
      </c>
      <c r="N38" s="2" t="s">
        <v>201</v>
      </c>
      <c r="O38" s="2"/>
      <c r="P38" s="2">
        <v>0</v>
      </c>
      <c r="Q38" s="2">
        <v>0</v>
      </c>
      <c r="R38" s="2">
        <f t="shared" si="4"/>
        <v>8</v>
      </c>
      <c r="S38" s="2">
        <f t="shared" si="5"/>
        <v>0</v>
      </c>
      <c r="T38" s="2" t="s">
        <v>91</v>
      </c>
      <c r="U38" s="2" t="s">
        <v>123</v>
      </c>
      <c r="V38" s="2" t="s">
        <v>208</v>
      </c>
    </row>
    <row r="39" spans="1:22" ht="23.25" customHeight="1" x14ac:dyDescent="0.2">
      <c r="A39" s="2" t="s">
        <v>209</v>
      </c>
      <c r="B39" s="2" t="s">
        <v>109</v>
      </c>
      <c r="C39" s="2" t="s">
        <v>210</v>
      </c>
      <c r="D39" s="2" t="s">
        <v>37</v>
      </c>
      <c r="E39" s="2"/>
      <c r="F39" s="2" t="s">
        <v>211</v>
      </c>
      <c r="G39" s="2" t="s">
        <v>27</v>
      </c>
      <c r="H39" s="2" t="s">
        <v>28</v>
      </c>
      <c r="I39" s="2"/>
      <c r="J39" s="2">
        <v>2</v>
      </c>
      <c r="K39" s="2">
        <v>4</v>
      </c>
      <c r="L39" s="2">
        <f t="shared" si="3"/>
        <v>8</v>
      </c>
      <c r="M39" s="2" t="s">
        <v>77</v>
      </c>
      <c r="N39" s="2" t="s">
        <v>201</v>
      </c>
      <c r="O39" s="2"/>
      <c r="P39" s="2">
        <v>0</v>
      </c>
      <c r="Q39" s="2">
        <v>0</v>
      </c>
      <c r="R39" s="2">
        <f t="shared" si="4"/>
        <v>8</v>
      </c>
      <c r="S39" s="2">
        <f t="shared" si="5"/>
        <v>0</v>
      </c>
      <c r="T39" s="2" t="s">
        <v>91</v>
      </c>
      <c r="U39" s="2" t="s">
        <v>123</v>
      </c>
      <c r="V39" s="2" t="s">
        <v>212</v>
      </c>
    </row>
    <row r="40" spans="1:22" ht="23.25" customHeight="1" x14ac:dyDescent="0.2">
      <c r="A40" s="2" t="s">
        <v>213</v>
      </c>
      <c r="B40" s="2" t="s">
        <v>214</v>
      </c>
      <c r="C40" s="2" t="s">
        <v>215</v>
      </c>
      <c r="D40" s="2" t="s">
        <v>37</v>
      </c>
      <c r="E40" s="2"/>
      <c r="F40" s="2" t="s">
        <v>216</v>
      </c>
      <c r="G40" s="2" t="s">
        <v>27</v>
      </c>
      <c r="H40" s="2" t="s">
        <v>28</v>
      </c>
      <c r="I40" s="2"/>
      <c r="J40" s="2">
        <v>1</v>
      </c>
      <c r="K40" s="2">
        <v>1</v>
      </c>
      <c r="L40" s="2">
        <f t="shared" si="3"/>
        <v>1</v>
      </c>
      <c r="M40" s="2" t="s">
        <v>77</v>
      </c>
      <c r="N40" s="2" t="s">
        <v>201</v>
      </c>
      <c r="O40" s="2"/>
      <c r="P40" s="2">
        <v>0</v>
      </c>
      <c r="Q40" s="2">
        <v>0</v>
      </c>
      <c r="R40" s="2">
        <f t="shared" si="4"/>
        <v>1</v>
      </c>
      <c r="S40" s="2">
        <f t="shared" si="5"/>
        <v>0</v>
      </c>
      <c r="T40" s="2" t="s">
        <v>91</v>
      </c>
      <c r="U40" s="2" t="s">
        <v>96</v>
      </c>
      <c r="V40" s="2" t="s">
        <v>217</v>
      </c>
    </row>
    <row r="41" spans="1:22" ht="23.25" customHeight="1" x14ac:dyDescent="0.2">
      <c r="A41" s="2" t="s">
        <v>218</v>
      </c>
      <c r="B41" s="2" t="s">
        <v>214</v>
      </c>
      <c r="C41" s="2" t="s">
        <v>219</v>
      </c>
      <c r="D41" s="2" t="s">
        <v>37</v>
      </c>
      <c r="E41" s="2"/>
      <c r="F41" s="2" t="s">
        <v>220</v>
      </c>
      <c r="G41" s="2" t="s">
        <v>221</v>
      </c>
      <c r="H41" s="2" t="s">
        <v>28</v>
      </c>
      <c r="I41" s="2"/>
      <c r="J41" s="2">
        <v>1</v>
      </c>
      <c r="K41" s="2">
        <v>4</v>
      </c>
      <c r="L41" s="2">
        <f t="shared" si="3"/>
        <v>4</v>
      </c>
      <c r="M41" s="2" t="s">
        <v>77</v>
      </c>
      <c r="N41" s="2" t="s">
        <v>201</v>
      </c>
      <c r="O41" s="2"/>
      <c r="P41" s="2">
        <v>0</v>
      </c>
      <c r="Q41" s="2">
        <v>0</v>
      </c>
      <c r="R41" s="2">
        <f t="shared" si="4"/>
        <v>4</v>
      </c>
      <c r="S41" s="2">
        <f t="shared" si="5"/>
        <v>0</v>
      </c>
      <c r="T41" s="2" t="s">
        <v>91</v>
      </c>
      <c r="U41" s="2" t="s">
        <v>106</v>
      </c>
      <c r="V41" s="2" t="s">
        <v>222</v>
      </c>
    </row>
    <row r="42" spans="1:22" ht="23.25" customHeight="1" x14ac:dyDescent="0.2">
      <c r="A42" s="2" t="s">
        <v>223</v>
      </c>
      <c r="B42" s="2" t="s">
        <v>214</v>
      </c>
      <c r="C42" s="2" t="s">
        <v>224</v>
      </c>
      <c r="D42" s="2" t="s">
        <v>37</v>
      </c>
      <c r="E42" s="2"/>
      <c r="F42" s="2" t="s">
        <v>439</v>
      </c>
      <c r="G42" s="2" t="s">
        <v>27</v>
      </c>
      <c r="H42" s="2" t="s">
        <v>28</v>
      </c>
      <c r="I42" s="2"/>
      <c r="J42" s="2">
        <v>2</v>
      </c>
      <c r="K42" s="2">
        <v>4</v>
      </c>
      <c r="L42" s="2">
        <f t="shared" si="3"/>
        <v>8</v>
      </c>
      <c r="M42" s="2" t="s">
        <v>77</v>
      </c>
      <c r="N42" s="2" t="s">
        <v>201</v>
      </c>
      <c r="O42" s="2"/>
      <c r="P42" s="2">
        <v>0</v>
      </c>
      <c r="Q42" s="2">
        <v>0</v>
      </c>
      <c r="R42" s="2">
        <f t="shared" si="4"/>
        <v>8</v>
      </c>
      <c r="S42" s="2">
        <f t="shared" si="5"/>
        <v>0</v>
      </c>
      <c r="T42" s="2" t="s">
        <v>32</v>
      </c>
      <c r="U42" s="2" t="s">
        <v>96</v>
      </c>
      <c r="V42" s="2" t="s">
        <v>225</v>
      </c>
    </row>
    <row r="43" spans="1:22" ht="23.25" customHeight="1" x14ac:dyDescent="0.2">
      <c r="A43" s="2" t="s">
        <v>226</v>
      </c>
      <c r="B43" s="2" t="s">
        <v>227</v>
      </c>
      <c r="C43" s="2" t="s">
        <v>228</v>
      </c>
      <c r="D43" s="2" t="s">
        <v>25</v>
      </c>
      <c r="E43" s="2"/>
      <c r="F43" s="2" t="s">
        <v>229</v>
      </c>
      <c r="G43" s="2" t="s">
        <v>192</v>
      </c>
      <c r="H43" s="2" t="s">
        <v>193</v>
      </c>
      <c r="I43" s="2" t="s">
        <v>230</v>
      </c>
      <c r="J43" s="2">
        <v>4</v>
      </c>
      <c r="K43" s="2">
        <v>1</v>
      </c>
      <c r="L43" s="2">
        <f t="shared" si="3"/>
        <v>4</v>
      </c>
      <c r="M43" s="2" t="s">
        <v>72</v>
      </c>
      <c r="N43" s="2" t="s">
        <v>227</v>
      </c>
      <c r="O43" s="3" t="s">
        <v>231</v>
      </c>
      <c r="P43" s="2">
        <v>150</v>
      </c>
      <c r="Q43" s="2">
        <v>0</v>
      </c>
      <c r="R43" s="2">
        <f t="shared" si="4"/>
        <v>4</v>
      </c>
      <c r="S43" s="2">
        <f t="shared" si="5"/>
        <v>600</v>
      </c>
      <c r="T43" s="2" t="s">
        <v>32</v>
      </c>
      <c r="U43" s="2" t="s">
        <v>232</v>
      </c>
      <c r="V43" s="2" t="s">
        <v>233</v>
      </c>
    </row>
    <row r="44" spans="1:22" ht="15" customHeight="1" x14ac:dyDescent="0.2">
      <c r="A44" s="2" t="s">
        <v>234</v>
      </c>
      <c r="B44" s="2" t="s">
        <v>227</v>
      </c>
      <c r="C44" s="2" t="s">
        <v>235</v>
      </c>
      <c r="D44" s="2" t="s">
        <v>37</v>
      </c>
      <c r="E44" s="2"/>
      <c r="F44" s="2"/>
      <c r="G44" s="2" t="s">
        <v>221</v>
      </c>
      <c r="H44" s="2" t="s">
        <v>193</v>
      </c>
      <c r="I44" s="2" t="s">
        <v>236</v>
      </c>
      <c r="J44" s="2">
        <v>1</v>
      </c>
      <c r="K44" s="2">
        <v>1</v>
      </c>
      <c r="L44" s="2">
        <f t="shared" si="3"/>
        <v>1</v>
      </c>
      <c r="M44" s="2" t="s">
        <v>30</v>
      </c>
      <c r="N44" s="2" t="s">
        <v>237</v>
      </c>
      <c r="O44" s="2"/>
      <c r="P44" s="2">
        <v>0</v>
      </c>
      <c r="Q44" s="2">
        <v>0</v>
      </c>
      <c r="R44" s="2">
        <f t="shared" si="4"/>
        <v>1</v>
      </c>
      <c r="S44" s="2">
        <f t="shared" si="5"/>
        <v>0</v>
      </c>
      <c r="T44" s="2" t="s">
        <v>32</v>
      </c>
      <c r="U44" s="2" t="s">
        <v>238</v>
      </c>
      <c r="V44" s="2" t="s">
        <v>239</v>
      </c>
    </row>
    <row r="45" spans="1:22" ht="23.25" customHeight="1" x14ac:dyDescent="0.2">
      <c r="A45" s="2" t="s">
        <v>240</v>
      </c>
      <c r="B45" s="2" t="s">
        <v>227</v>
      </c>
      <c r="C45" s="2" t="s">
        <v>241</v>
      </c>
      <c r="D45" s="2" t="s">
        <v>37</v>
      </c>
      <c r="E45" s="2"/>
      <c r="F45" s="2" t="s">
        <v>242</v>
      </c>
      <c r="G45" s="2" t="s">
        <v>221</v>
      </c>
      <c r="H45" s="2" t="s">
        <v>193</v>
      </c>
      <c r="I45" s="2" t="s">
        <v>236</v>
      </c>
      <c r="J45" s="2">
        <v>1</v>
      </c>
      <c r="K45" s="2">
        <v>1</v>
      </c>
      <c r="L45" s="2">
        <f t="shared" si="3"/>
        <v>1</v>
      </c>
      <c r="M45" s="2" t="s">
        <v>29</v>
      </c>
      <c r="N45" s="2" t="s">
        <v>227</v>
      </c>
      <c r="O45" s="2"/>
      <c r="P45" s="2">
        <v>0</v>
      </c>
      <c r="Q45" s="2">
        <v>0</v>
      </c>
      <c r="R45" s="2">
        <f t="shared" si="4"/>
        <v>1</v>
      </c>
      <c r="S45" s="2">
        <f t="shared" si="5"/>
        <v>0</v>
      </c>
      <c r="T45" s="2" t="s">
        <v>32</v>
      </c>
      <c r="U45" s="2" t="s">
        <v>140</v>
      </c>
      <c r="V45" s="2"/>
    </row>
    <row r="46" spans="1:22" ht="23.25" customHeight="1" x14ac:dyDescent="0.2">
      <c r="A46" s="2" t="s">
        <v>243</v>
      </c>
      <c r="B46" s="2" t="s">
        <v>227</v>
      </c>
      <c r="C46" s="2" t="s">
        <v>244</v>
      </c>
      <c r="D46" s="2" t="s">
        <v>37</v>
      </c>
      <c r="E46" s="2"/>
      <c r="F46" s="2" t="s">
        <v>448</v>
      </c>
      <c r="G46" s="2" t="s">
        <v>27</v>
      </c>
      <c r="H46" s="2" t="s">
        <v>28</v>
      </c>
      <c r="I46" s="2"/>
      <c r="J46" s="2">
        <v>1</v>
      </c>
      <c r="K46" s="2">
        <v>1</v>
      </c>
      <c r="L46" s="2">
        <f t="shared" si="3"/>
        <v>1</v>
      </c>
      <c r="M46" s="2" t="s">
        <v>77</v>
      </c>
      <c r="N46" s="2" t="s">
        <v>78</v>
      </c>
      <c r="O46" s="2"/>
      <c r="P46" s="2">
        <v>0</v>
      </c>
      <c r="Q46" s="2">
        <v>0</v>
      </c>
      <c r="R46" s="2">
        <f t="shared" si="4"/>
        <v>1</v>
      </c>
      <c r="S46" s="2">
        <f t="shared" si="5"/>
        <v>0</v>
      </c>
      <c r="T46" s="2" t="s">
        <v>32</v>
      </c>
      <c r="U46" s="2" t="s">
        <v>96</v>
      </c>
      <c r="V46" s="2" t="s">
        <v>245</v>
      </c>
    </row>
    <row r="47" spans="1:22" ht="23.25" customHeight="1" x14ac:dyDescent="0.2">
      <c r="A47" s="2" t="s">
        <v>246</v>
      </c>
      <c r="B47" s="2" t="s">
        <v>247</v>
      </c>
      <c r="C47" s="2" t="s">
        <v>248</v>
      </c>
      <c r="D47" s="2" t="s">
        <v>37</v>
      </c>
      <c r="E47" s="2"/>
      <c r="F47" s="2"/>
      <c r="G47" s="2" t="s">
        <v>221</v>
      </c>
      <c r="H47" s="2" t="s">
        <v>193</v>
      </c>
      <c r="I47" s="2" t="s">
        <v>249</v>
      </c>
      <c r="J47" s="2">
        <v>1</v>
      </c>
      <c r="K47" s="2">
        <v>1</v>
      </c>
      <c r="L47" s="2">
        <f t="shared" si="3"/>
        <v>1</v>
      </c>
      <c r="M47" s="2" t="s">
        <v>72</v>
      </c>
      <c r="N47" s="2" t="s">
        <v>45</v>
      </c>
      <c r="O47" s="2"/>
      <c r="P47" s="2">
        <v>0</v>
      </c>
      <c r="Q47" s="2">
        <v>0</v>
      </c>
      <c r="R47" s="2">
        <f t="shared" si="4"/>
        <v>1</v>
      </c>
      <c r="S47" s="2">
        <f t="shared" si="5"/>
        <v>0</v>
      </c>
      <c r="T47" s="2" t="s">
        <v>32</v>
      </c>
      <c r="U47" s="2" t="s">
        <v>151</v>
      </c>
      <c r="V47" s="2" t="s">
        <v>250</v>
      </c>
    </row>
    <row r="48" spans="1:22" ht="23.25" customHeight="1" x14ac:dyDescent="0.2">
      <c r="A48" s="2" t="s">
        <v>251</v>
      </c>
      <c r="B48" s="2" t="s">
        <v>247</v>
      </c>
      <c r="C48" s="2" t="s">
        <v>252</v>
      </c>
      <c r="D48" s="2" t="s">
        <v>37</v>
      </c>
      <c r="E48" s="2"/>
      <c r="F48" s="2" t="s">
        <v>253</v>
      </c>
      <c r="G48" s="2" t="s">
        <v>27</v>
      </c>
      <c r="H48" s="2" t="s">
        <v>28</v>
      </c>
      <c r="I48" s="2"/>
      <c r="J48" s="2">
        <v>1</v>
      </c>
      <c r="K48" s="2">
        <v>1</v>
      </c>
      <c r="L48" s="2">
        <f t="shared" si="3"/>
        <v>1</v>
      </c>
      <c r="M48" s="2" t="s">
        <v>29</v>
      </c>
      <c r="N48" s="2" t="s">
        <v>30</v>
      </c>
      <c r="O48" s="2"/>
      <c r="P48" s="2">
        <v>0</v>
      </c>
      <c r="Q48" s="2">
        <v>0</v>
      </c>
      <c r="R48" s="2">
        <f t="shared" si="4"/>
        <v>1</v>
      </c>
      <c r="S48" s="2">
        <f t="shared" si="5"/>
        <v>0</v>
      </c>
      <c r="T48" s="2" t="s">
        <v>32</v>
      </c>
      <c r="U48" s="2" t="s">
        <v>232</v>
      </c>
      <c r="V48" s="2" t="s">
        <v>254</v>
      </c>
    </row>
    <row r="49" spans="1:22" ht="34.5" customHeight="1" x14ac:dyDescent="0.2">
      <c r="A49" s="2" t="s">
        <v>255</v>
      </c>
      <c r="B49" s="2" t="s">
        <v>247</v>
      </c>
      <c r="C49" s="2" t="s">
        <v>256</v>
      </c>
      <c r="D49" s="2" t="s">
        <v>37</v>
      </c>
      <c r="E49" s="2"/>
      <c r="F49" s="2" t="s">
        <v>257</v>
      </c>
      <c r="G49" s="2" t="s">
        <v>27</v>
      </c>
      <c r="H49" s="2" t="s">
        <v>28</v>
      </c>
      <c r="I49" s="2"/>
      <c r="J49" s="2">
        <v>1</v>
      </c>
      <c r="K49" s="2">
        <v>1</v>
      </c>
      <c r="L49" s="2">
        <f t="shared" si="3"/>
        <v>1</v>
      </c>
      <c r="M49" s="2" t="s">
        <v>77</v>
      </c>
      <c r="N49" s="2" t="s">
        <v>30</v>
      </c>
      <c r="O49" s="2"/>
      <c r="P49" s="2">
        <v>0</v>
      </c>
      <c r="Q49" s="2">
        <v>0</v>
      </c>
      <c r="R49" s="2">
        <f t="shared" si="4"/>
        <v>1</v>
      </c>
      <c r="S49" s="2">
        <f t="shared" si="5"/>
        <v>0</v>
      </c>
      <c r="T49" s="2" t="s">
        <v>32</v>
      </c>
      <c r="U49" s="2" t="s">
        <v>232</v>
      </c>
      <c r="V49" s="2" t="s">
        <v>258</v>
      </c>
    </row>
    <row r="50" spans="1:22" ht="23.25" customHeight="1" x14ac:dyDescent="0.2">
      <c r="A50" s="2" t="s">
        <v>259</v>
      </c>
      <c r="B50" s="2" t="s">
        <v>23</v>
      </c>
      <c r="C50" s="2" t="s">
        <v>260</v>
      </c>
      <c r="D50" s="2" t="s">
        <v>37</v>
      </c>
      <c r="E50" s="2"/>
      <c r="F50" s="2" t="s">
        <v>261</v>
      </c>
      <c r="G50" s="2" t="s">
        <v>27</v>
      </c>
      <c r="H50" s="2" t="s">
        <v>28</v>
      </c>
      <c r="I50" s="2"/>
      <c r="J50" s="2">
        <v>1</v>
      </c>
      <c r="K50" s="2">
        <v>1</v>
      </c>
      <c r="L50" s="2">
        <f t="shared" si="3"/>
        <v>1</v>
      </c>
      <c r="M50" s="2" t="s">
        <v>29</v>
      </c>
      <c r="N50" s="2" t="s">
        <v>51</v>
      </c>
      <c r="O50" s="3" t="s">
        <v>262</v>
      </c>
      <c r="P50" s="2">
        <v>0</v>
      </c>
      <c r="Q50" s="2">
        <v>0</v>
      </c>
      <c r="R50" s="2">
        <f t="shared" si="4"/>
        <v>1</v>
      </c>
      <c r="S50" s="2">
        <f t="shared" si="5"/>
        <v>0</v>
      </c>
      <c r="T50" s="2" t="s">
        <v>32</v>
      </c>
      <c r="U50" s="2" t="s">
        <v>33</v>
      </c>
      <c r="V50" s="2" t="s">
        <v>263</v>
      </c>
    </row>
    <row r="51" spans="1:22" ht="23.25" customHeight="1" x14ac:dyDescent="0.2">
      <c r="A51" s="2" t="s">
        <v>264</v>
      </c>
      <c r="B51" s="2" t="s">
        <v>23</v>
      </c>
      <c r="C51" s="2" t="s">
        <v>265</v>
      </c>
      <c r="D51" s="2" t="s">
        <v>37</v>
      </c>
      <c r="E51" s="2"/>
      <c r="F51" s="2" t="s">
        <v>266</v>
      </c>
      <c r="G51" s="2" t="s">
        <v>27</v>
      </c>
      <c r="H51" s="2" t="s">
        <v>28</v>
      </c>
      <c r="I51" s="2"/>
      <c r="J51" s="2">
        <v>1</v>
      </c>
      <c r="K51" s="2">
        <v>1</v>
      </c>
      <c r="L51" s="2">
        <f t="shared" si="3"/>
        <v>1</v>
      </c>
      <c r="M51" s="2" t="s">
        <v>29</v>
      </c>
      <c r="N51" s="2" t="s">
        <v>39</v>
      </c>
      <c r="O51" s="2" t="s">
        <v>267</v>
      </c>
      <c r="P51" s="2">
        <v>790</v>
      </c>
      <c r="Q51" s="2">
        <v>0</v>
      </c>
      <c r="R51" s="2">
        <f t="shared" si="4"/>
        <v>1</v>
      </c>
      <c r="S51" s="2">
        <f t="shared" si="5"/>
        <v>790</v>
      </c>
      <c r="T51" s="2" t="s">
        <v>32</v>
      </c>
      <c r="U51" s="2" t="s">
        <v>268</v>
      </c>
      <c r="V51" s="2" t="s">
        <v>269</v>
      </c>
    </row>
    <row r="52" spans="1:22" ht="45.75" customHeight="1" x14ac:dyDescent="0.2">
      <c r="A52" s="2" t="s">
        <v>270</v>
      </c>
      <c r="B52" s="2" t="s">
        <v>23</v>
      </c>
      <c r="C52" s="2" t="s">
        <v>271</v>
      </c>
      <c r="D52" s="2" t="s">
        <v>37</v>
      </c>
      <c r="E52" s="2"/>
      <c r="F52" s="2" t="s">
        <v>272</v>
      </c>
      <c r="G52" s="2" t="s">
        <v>27</v>
      </c>
      <c r="H52" s="2" t="s">
        <v>28</v>
      </c>
      <c r="I52" s="2"/>
      <c r="J52" s="2">
        <v>1</v>
      </c>
      <c r="K52" s="2">
        <v>1</v>
      </c>
      <c r="L52" s="2">
        <f t="shared" si="3"/>
        <v>1</v>
      </c>
      <c r="M52" s="2" t="s">
        <v>29</v>
      </c>
      <c r="N52" s="2" t="s">
        <v>51</v>
      </c>
      <c r="O52" s="2"/>
      <c r="P52" s="2">
        <v>0</v>
      </c>
      <c r="Q52" s="2">
        <v>0</v>
      </c>
      <c r="R52" s="2">
        <f t="shared" si="4"/>
        <v>1</v>
      </c>
      <c r="S52" s="2">
        <f t="shared" si="5"/>
        <v>0</v>
      </c>
      <c r="T52" s="2" t="s">
        <v>32</v>
      </c>
      <c r="U52" s="2" t="s">
        <v>123</v>
      </c>
      <c r="V52" s="2" t="s">
        <v>273</v>
      </c>
    </row>
    <row r="53" spans="1:22" ht="57" customHeight="1" x14ac:dyDescent="0.2">
      <c r="A53" s="2" t="s">
        <v>274</v>
      </c>
      <c r="B53" s="2" t="s">
        <v>227</v>
      </c>
      <c r="C53" s="2" t="s">
        <v>275</v>
      </c>
      <c r="D53" s="2" t="s">
        <v>37</v>
      </c>
      <c r="E53" s="2"/>
      <c r="F53" s="2" t="s">
        <v>276</v>
      </c>
      <c r="G53" s="2" t="s">
        <v>27</v>
      </c>
      <c r="H53" s="2" t="s">
        <v>28</v>
      </c>
      <c r="I53" s="2"/>
      <c r="J53" s="2">
        <v>1</v>
      </c>
      <c r="K53" s="2">
        <v>1</v>
      </c>
      <c r="L53" s="2">
        <f t="shared" si="3"/>
        <v>1</v>
      </c>
      <c r="M53" s="2" t="s">
        <v>77</v>
      </c>
      <c r="N53" s="2" t="s">
        <v>78</v>
      </c>
      <c r="O53" s="2"/>
      <c r="P53" s="2">
        <v>0</v>
      </c>
      <c r="Q53" s="2">
        <v>0</v>
      </c>
      <c r="R53" s="2">
        <f t="shared" si="4"/>
        <v>1</v>
      </c>
      <c r="S53" s="2">
        <f t="shared" si="5"/>
        <v>0</v>
      </c>
      <c r="T53" s="2" t="s">
        <v>32</v>
      </c>
      <c r="U53" s="2" t="s">
        <v>33</v>
      </c>
      <c r="V53" s="2" t="s">
        <v>277</v>
      </c>
    </row>
    <row r="54" spans="1:22" ht="23.25" customHeight="1" x14ac:dyDescent="0.2">
      <c r="A54" s="2" t="s">
        <v>278</v>
      </c>
      <c r="B54" s="2" t="s">
        <v>126</v>
      </c>
      <c r="C54" s="2" t="s">
        <v>279</v>
      </c>
      <c r="D54" s="2" t="s">
        <v>37</v>
      </c>
      <c r="E54" s="2"/>
      <c r="F54" s="2" t="s">
        <v>280</v>
      </c>
      <c r="G54" s="2" t="s">
        <v>27</v>
      </c>
      <c r="H54" s="2" t="s">
        <v>28</v>
      </c>
      <c r="I54" s="2"/>
      <c r="J54" s="2">
        <v>1</v>
      </c>
      <c r="K54" s="2">
        <v>1</v>
      </c>
      <c r="L54" s="2">
        <f t="shared" si="3"/>
        <v>1</v>
      </c>
      <c r="M54" s="2" t="s">
        <v>77</v>
      </c>
      <c r="N54" s="2" t="s">
        <v>281</v>
      </c>
      <c r="O54" s="2" t="s">
        <v>282</v>
      </c>
      <c r="P54" s="2">
        <v>26</v>
      </c>
      <c r="Q54" s="2">
        <v>0</v>
      </c>
      <c r="R54" s="2">
        <f t="shared" si="4"/>
        <v>1</v>
      </c>
      <c r="S54" s="2">
        <f t="shared" si="5"/>
        <v>26</v>
      </c>
      <c r="T54" s="2" t="s">
        <v>32</v>
      </c>
      <c r="U54" s="2" t="s">
        <v>268</v>
      </c>
      <c r="V54" s="2" t="s">
        <v>283</v>
      </c>
    </row>
    <row r="55" spans="1:22" ht="34.5" customHeight="1" x14ac:dyDescent="0.2">
      <c r="A55" s="2" t="s">
        <v>284</v>
      </c>
      <c r="B55" s="2" t="s">
        <v>126</v>
      </c>
      <c r="C55" s="2" t="s">
        <v>285</v>
      </c>
      <c r="D55" s="2" t="s">
        <v>37</v>
      </c>
      <c r="E55" s="2"/>
      <c r="F55" s="2" t="s">
        <v>449</v>
      </c>
      <c r="G55" s="2" t="s">
        <v>27</v>
      </c>
      <c r="H55" s="2" t="s">
        <v>28</v>
      </c>
      <c r="I55" s="2"/>
      <c r="J55" s="2">
        <v>2</v>
      </c>
      <c r="K55" s="2">
        <v>1</v>
      </c>
      <c r="L55" s="2">
        <f t="shared" si="3"/>
        <v>2</v>
      </c>
      <c r="M55" s="2" t="s">
        <v>77</v>
      </c>
      <c r="N55" s="2" t="s">
        <v>78</v>
      </c>
      <c r="O55" s="2"/>
      <c r="P55" s="2">
        <v>0</v>
      </c>
      <c r="Q55" s="2">
        <v>0</v>
      </c>
      <c r="R55" s="2">
        <f t="shared" si="4"/>
        <v>2</v>
      </c>
      <c r="S55" s="2">
        <f t="shared" si="5"/>
        <v>0</v>
      </c>
      <c r="T55" s="2" t="s">
        <v>32</v>
      </c>
      <c r="U55" s="2" t="s">
        <v>96</v>
      </c>
      <c r="V55" s="2" t="s">
        <v>286</v>
      </c>
    </row>
    <row r="56" spans="1:22" ht="57" customHeight="1" x14ac:dyDescent="0.2">
      <c r="A56" s="2" t="s">
        <v>287</v>
      </c>
      <c r="B56" s="2" t="s">
        <v>23</v>
      </c>
      <c r="C56" s="2" t="s">
        <v>288</v>
      </c>
      <c r="D56" s="2" t="s">
        <v>37</v>
      </c>
      <c r="E56" s="2"/>
      <c r="F56" s="2" t="s">
        <v>289</v>
      </c>
      <c r="G56" s="2" t="s">
        <v>27</v>
      </c>
      <c r="H56" s="2" t="s">
        <v>28</v>
      </c>
      <c r="I56" s="2"/>
      <c r="J56" s="2">
        <v>1</v>
      </c>
      <c r="K56" s="2">
        <v>1</v>
      </c>
      <c r="L56" s="2">
        <f t="shared" si="3"/>
        <v>1</v>
      </c>
      <c r="M56" s="2" t="s">
        <v>29</v>
      </c>
      <c r="N56" s="2" t="s">
        <v>30</v>
      </c>
      <c r="O56" s="2" t="s">
        <v>290</v>
      </c>
      <c r="P56" s="2">
        <v>0</v>
      </c>
      <c r="Q56" s="2">
        <v>0</v>
      </c>
      <c r="R56" s="2">
        <f t="shared" si="4"/>
        <v>1</v>
      </c>
      <c r="S56" s="2">
        <f t="shared" si="5"/>
        <v>0</v>
      </c>
      <c r="T56" s="2" t="s">
        <v>32</v>
      </c>
      <c r="U56" s="2" t="s">
        <v>268</v>
      </c>
      <c r="V56" s="2" t="s">
        <v>291</v>
      </c>
    </row>
    <row r="57" spans="1:22" ht="23.25" customHeight="1" x14ac:dyDescent="0.2">
      <c r="A57" s="2" t="s">
        <v>292</v>
      </c>
      <c r="B57" s="2" t="s">
        <v>23</v>
      </c>
      <c r="C57" s="2" t="s">
        <v>293</v>
      </c>
      <c r="D57" s="2" t="s">
        <v>37</v>
      </c>
      <c r="E57" s="2"/>
      <c r="F57" s="2" t="s">
        <v>294</v>
      </c>
      <c r="G57" s="2" t="s">
        <v>27</v>
      </c>
      <c r="H57" s="2" t="s">
        <v>28</v>
      </c>
      <c r="I57" s="2"/>
      <c r="J57" s="2">
        <v>6</v>
      </c>
      <c r="K57" s="2">
        <v>1</v>
      </c>
      <c r="L57" s="2">
        <f t="shared" si="3"/>
        <v>6</v>
      </c>
      <c r="M57" s="2" t="s">
        <v>29</v>
      </c>
      <c r="N57" s="2" t="s">
        <v>51</v>
      </c>
      <c r="O57" s="2" t="s">
        <v>295</v>
      </c>
      <c r="P57" s="2">
        <v>0</v>
      </c>
      <c r="Q57" s="2">
        <v>0</v>
      </c>
      <c r="R57" s="2">
        <f t="shared" si="4"/>
        <v>6</v>
      </c>
      <c r="S57" s="2">
        <f t="shared" si="5"/>
        <v>0</v>
      </c>
      <c r="T57" s="2" t="s">
        <v>32</v>
      </c>
      <c r="U57" s="2" t="s">
        <v>84</v>
      </c>
      <c r="V57" s="2" t="s">
        <v>296</v>
      </c>
    </row>
    <row r="58" spans="1:22" ht="57" customHeight="1" x14ac:dyDescent="0.2">
      <c r="A58" s="2" t="s">
        <v>297</v>
      </c>
      <c r="B58" s="2" t="s">
        <v>23</v>
      </c>
      <c r="C58" s="2" t="s">
        <v>298</v>
      </c>
      <c r="D58" s="2" t="s">
        <v>37</v>
      </c>
      <c r="E58" s="2"/>
      <c r="F58" s="2" t="s">
        <v>299</v>
      </c>
      <c r="G58" s="2" t="s">
        <v>27</v>
      </c>
      <c r="H58" s="2" t="s">
        <v>28</v>
      </c>
      <c r="I58" s="2"/>
      <c r="J58" s="2">
        <v>2</v>
      </c>
      <c r="K58" s="2">
        <v>1</v>
      </c>
      <c r="L58" s="2">
        <f t="shared" si="3"/>
        <v>2</v>
      </c>
      <c r="M58" s="2" t="s">
        <v>29</v>
      </c>
      <c r="N58" s="2" t="s">
        <v>51</v>
      </c>
      <c r="O58" s="2" t="s">
        <v>300</v>
      </c>
      <c r="P58" s="2">
        <v>0</v>
      </c>
      <c r="Q58" s="2">
        <v>0</v>
      </c>
      <c r="R58" s="2">
        <f t="shared" si="4"/>
        <v>2</v>
      </c>
      <c r="S58" s="2">
        <f t="shared" si="5"/>
        <v>0</v>
      </c>
      <c r="T58" s="2" t="s">
        <v>32</v>
      </c>
      <c r="U58" s="2" t="s">
        <v>84</v>
      </c>
      <c r="V58" s="2" t="s">
        <v>301</v>
      </c>
    </row>
    <row r="59" spans="1:22" ht="34.5" customHeight="1" x14ac:dyDescent="0.2">
      <c r="A59" s="2" t="s">
        <v>302</v>
      </c>
      <c r="B59" s="2" t="s">
        <v>23</v>
      </c>
      <c r="C59" s="2" t="s">
        <v>303</v>
      </c>
      <c r="D59" s="2" t="s">
        <v>37</v>
      </c>
      <c r="E59" s="2"/>
      <c r="F59" s="2" t="s">
        <v>304</v>
      </c>
      <c r="G59" s="2" t="s">
        <v>27</v>
      </c>
      <c r="H59" s="2" t="s">
        <v>28</v>
      </c>
      <c r="I59" s="2"/>
      <c r="J59" s="2">
        <v>2</v>
      </c>
      <c r="K59" s="2">
        <v>1</v>
      </c>
      <c r="L59" s="2">
        <f t="shared" si="3"/>
        <v>2</v>
      </c>
      <c r="M59" s="2" t="s">
        <v>72</v>
      </c>
      <c r="N59" s="2" t="s">
        <v>51</v>
      </c>
      <c r="O59" s="2" t="s">
        <v>305</v>
      </c>
      <c r="P59" s="2">
        <v>0</v>
      </c>
      <c r="Q59" s="2">
        <v>0</v>
      </c>
      <c r="R59" s="2">
        <f t="shared" si="4"/>
        <v>2</v>
      </c>
      <c r="S59" s="2">
        <f t="shared" si="5"/>
        <v>0</v>
      </c>
      <c r="T59" s="2" t="s">
        <v>32</v>
      </c>
      <c r="U59" s="2" t="s">
        <v>84</v>
      </c>
      <c r="V59" s="2" t="s">
        <v>306</v>
      </c>
    </row>
    <row r="60" spans="1:22" ht="23.25" customHeight="1" x14ac:dyDescent="0.2">
      <c r="A60" s="2" t="s">
        <v>307</v>
      </c>
      <c r="B60" s="2" t="s">
        <v>23</v>
      </c>
      <c r="C60" s="2" t="s">
        <v>308</v>
      </c>
      <c r="D60" s="2" t="s">
        <v>37</v>
      </c>
      <c r="E60" s="2"/>
      <c r="F60" s="2" t="s">
        <v>309</v>
      </c>
      <c r="G60" s="2" t="s">
        <v>27</v>
      </c>
      <c r="H60" s="2" t="s">
        <v>28</v>
      </c>
      <c r="I60" s="2"/>
      <c r="J60" s="2">
        <v>5</v>
      </c>
      <c r="K60" s="2">
        <v>1</v>
      </c>
      <c r="L60" s="2">
        <f t="shared" si="3"/>
        <v>5</v>
      </c>
      <c r="M60" s="2" t="s">
        <v>29</v>
      </c>
      <c r="N60" s="2" t="s">
        <v>51</v>
      </c>
      <c r="O60" s="2" t="s">
        <v>310</v>
      </c>
      <c r="P60" s="2">
        <v>0</v>
      </c>
      <c r="Q60" s="2">
        <v>0</v>
      </c>
      <c r="R60" s="2">
        <f t="shared" si="4"/>
        <v>5</v>
      </c>
      <c r="S60" s="2">
        <f t="shared" si="5"/>
        <v>0</v>
      </c>
      <c r="T60" s="2" t="s">
        <v>32</v>
      </c>
      <c r="U60" s="2" t="s">
        <v>84</v>
      </c>
      <c r="V60" s="2" t="s">
        <v>464</v>
      </c>
    </row>
    <row r="61" spans="1:22" ht="23.25" customHeight="1" x14ac:dyDescent="0.2">
      <c r="A61" s="2" t="s">
        <v>311</v>
      </c>
      <c r="B61" s="2" t="s">
        <v>23</v>
      </c>
      <c r="C61" s="2" t="s">
        <v>312</v>
      </c>
      <c r="D61" s="2" t="s">
        <v>37</v>
      </c>
      <c r="E61" s="2"/>
      <c r="F61" s="2" t="s">
        <v>313</v>
      </c>
      <c r="G61" s="2" t="s">
        <v>221</v>
      </c>
      <c r="H61" s="2" t="s">
        <v>28</v>
      </c>
      <c r="I61" s="2"/>
      <c r="J61" s="2">
        <v>1</v>
      </c>
      <c r="K61" s="2">
        <v>1</v>
      </c>
      <c r="L61" s="2">
        <f t="shared" si="3"/>
        <v>1</v>
      </c>
      <c r="M61" s="2" t="s">
        <v>29</v>
      </c>
      <c r="N61" s="2" t="s">
        <v>51</v>
      </c>
      <c r="O61" s="2"/>
      <c r="P61" s="2">
        <v>0</v>
      </c>
      <c r="Q61" s="2">
        <v>0</v>
      </c>
      <c r="R61" s="2">
        <f t="shared" si="4"/>
        <v>1</v>
      </c>
      <c r="S61" s="2">
        <f t="shared" si="5"/>
        <v>0</v>
      </c>
      <c r="T61" s="2" t="s">
        <v>32</v>
      </c>
      <c r="U61" s="2" t="s">
        <v>84</v>
      </c>
      <c r="V61" s="2" t="s">
        <v>314</v>
      </c>
    </row>
    <row r="62" spans="1:22" ht="34.5" customHeight="1" x14ac:dyDescent="0.2">
      <c r="A62" s="2" t="s">
        <v>315</v>
      </c>
      <c r="B62" s="2" t="s">
        <v>23</v>
      </c>
      <c r="C62" s="2" t="s">
        <v>316</v>
      </c>
      <c r="D62" s="2" t="s">
        <v>37</v>
      </c>
      <c r="E62" s="2"/>
      <c r="F62" s="2" t="s">
        <v>317</v>
      </c>
      <c r="G62" s="2" t="s">
        <v>221</v>
      </c>
      <c r="H62" s="2" t="s">
        <v>28</v>
      </c>
      <c r="I62" s="2"/>
      <c r="J62" s="2">
        <v>1</v>
      </c>
      <c r="K62" s="2">
        <v>1</v>
      </c>
      <c r="L62" s="2">
        <f t="shared" si="3"/>
        <v>1</v>
      </c>
      <c r="M62" s="2" t="s">
        <v>29</v>
      </c>
      <c r="N62" s="2" t="s">
        <v>51</v>
      </c>
      <c r="O62" s="2"/>
      <c r="P62" s="2">
        <v>0</v>
      </c>
      <c r="Q62" s="2">
        <v>0</v>
      </c>
      <c r="R62" s="2">
        <f t="shared" si="4"/>
        <v>1</v>
      </c>
      <c r="S62" s="2">
        <f t="shared" si="5"/>
        <v>0</v>
      </c>
      <c r="T62" s="2" t="s">
        <v>32</v>
      </c>
      <c r="U62" s="2" t="s">
        <v>84</v>
      </c>
      <c r="V62" s="2" t="s">
        <v>318</v>
      </c>
    </row>
    <row r="63" spans="1:22" ht="34.5" customHeight="1" x14ac:dyDescent="0.2">
      <c r="A63" s="2" t="s">
        <v>319</v>
      </c>
      <c r="B63" s="2" t="s">
        <v>126</v>
      </c>
      <c r="C63" s="2" t="s">
        <v>320</v>
      </c>
      <c r="D63" s="2" t="s">
        <v>37</v>
      </c>
      <c r="E63" s="2"/>
      <c r="F63" s="2" t="s">
        <v>317</v>
      </c>
      <c r="G63" s="2" t="s">
        <v>221</v>
      </c>
      <c r="H63" s="2" t="s">
        <v>28</v>
      </c>
      <c r="I63" s="2"/>
      <c r="J63" s="2">
        <v>1</v>
      </c>
      <c r="K63" s="2">
        <v>4</v>
      </c>
      <c r="L63" s="2">
        <f t="shared" si="3"/>
        <v>4</v>
      </c>
      <c r="M63" s="2" t="s">
        <v>77</v>
      </c>
      <c r="N63" s="2" t="s">
        <v>129</v>
      </c>
      <c r="O63" s="2"/>
      <c r="P63" s="2">
        <v>0</v>
      </c>
      <c r="Q63" s="2">
        <v>0</v>
      </c>
      <c r="R63" s="2">
        <f t="shared" si="4"/>
        <v>4</v>
      </c>
      <c r="S63" s="2">
        <f t="shared" si="5"/>
        <v>0</v>
      </c>
      <c r="T63" s="2" t="s">
        <v>32</v>
      </c>
      <c r="U63" s="2" t="s">
        <v>321</v>
      </c>
      <c r="V63" s="2" t="s">
        <v>322</v>
      </c>
    </row>
    <row r="64" spans="1:22" ht="34.5" customHeight="1" x14ac:dyDescent="0.2">
      <c r="A64" s="2" t="s">
        <v>450</v>
      </c>
      <c r="B64" s="2" t="s">
        <v>87</v>
      </c>
      <c r="C64" s="2" t="s">
        <v>451</v>
      </c>
      <c r="D64" s="2" t="s">
        <v>37</v>
      </c>
      <c r="E64" s="2"/>
      <c r="F64" s="2" t="s">
        <v>452</v>
      </c>
      <c r="G64" s="2" t="s">
        <v>27</v>
      </c>
      <c r="H64" s="2" t="s">
        <v>28</v>
      </c>
      <c r="I64" s="2"/>
      <c r="J64" s="2">
        <v>5</v>
      </c>
      <c r="K64" s="2">
        <v>1</v>
      </c>
      <c r="L64" s="2">
        <f>J64*K64</f>
        <v>5</v>
      </c>
      <c r="M64" s="2" t="s">
        <v>77</v>
      </c>
      <c r="N64" s="2" t="s">
        <v>78</v>
      </c>
      <c r="O64" s="2"/>
      <c r="P64" s="2">
        <v>0</v>
      </c>
      <c r="Q64" s="2">
        <v>0</v>
      </c>
      <c r="R64" s="2">
        <f>L64-Q64</f>
        <v>5</v>
      </c>
      <c r="S64" s="2">
        <f>R64*P64</f>
        <v>0</v>
      </c>
      <c r="T64" s="2" t="s">
        <v>32</v>
      </c>
      <c r="U64" s="2" t="s">
        <v>453</v>
      </c>
      <c r="V64" s="2" t="s">
        <v>454</v>
      </c>
    </row>
    <row r="65" spans="1:22" ht="34.5" customHeight="1" x14ac:dyDescent="0.2">
      <c r="A65" s="2" t="s">
        <v>455</v>
      </c>
      <c r="B65" s="2" t="s">
        <v>87</v>
      </c>
      <c r="C65" s="2" t="s">
        <v>456</v>
      </c>
      <c r="D65" s="2" t="s">
        <v>37</v>
      </c>
      <c r="E65" s="2"/>
      <c r="F65" s="2" t="s">
        <v>457</v>
      </c>
      <c r="G65" s="2" t="s">
        <v>27</v>
      </c>
      <c r="H65" s="2" t="s">
        <v>28</v>
      </c>
      <c r="I65" s="2"/>
      <c r="J65" s="2">
        <v>2</v>
      </c>
      <c r="K65" s="2">
        <v>1</v>
      </c>
      <c r="L65" s="2">
        <f>J65*K65</f>
        <v>2</v>
      </c>
      <c r="M65" s="2" t="s">
        <v>77</v>
      </c>
      <c r="N65" s="2" t="s">
        <v>78</v>
      </c>
      <c r="O65" s="2"/>
      <c r="P65" s="2">
        <v>0</v>
      </c>
      <c r="Q65" s="2">
        <v>0</v>
      </c>
      <c r="R65" s="2">
        <f>L65-Q65</f>
        <v>2</v>
      </c>
      <c r="S65" s="2">
        <f>R65*P65</f>
        <v>0</v>
      </c>
      <c r="T65" s="2" t="s">
        <v>32</v>
      </c>
      <c r="U65" s="2" t="s">
        <v>453</v>
      </c>
      <c r="V65" s="2" t="s">
        <v>458</v>
      </c>
    </row>
  </sheetData>
  <conditionalFormatting sqref="A2:V500">
    <cfRule type="expression" dxfId="3" priority="2">
      <formula>$H2="Предложение"</formula>
    </cfRule>
    <cfRule type="expression" dxfId="2" priority="3">
      <formula>$H2="Уточняется"</formula>
    </cfRule>
    <cfRule type="expression" dxfId="1" priority="4">
      <formula>$G2="Только функция"</formula>
    </cfRule>
  </conditionalFormatting>
  <conditionalFormatting sqref="T2:T500">
    <cfRule type="expression" dxfId="0" priority="5">
      <formula>$T2="Да"</formula>
    </cfRule>
  </conditionalFormatting>
  <hyperlinks>
    <hyperlink ref="O2" r:id="rId1" xr:uid="{00000000-0004-0000-0000-000000000000}"/>
    <hyperlink ref="O3" r:id="rId2" xr:uid="{00000000-0004-0000-0000-000001000000}"/>
    <hyperlink ref="O8" r:id="rId3" xr:uid="{00000000-0004-0000-0000-000002000000}"/>
    <hyperlink ref="O14" r:id="rId4" xr:uid="{00000000-0004-0000-0000-000003000000}"/>
    <hyperlink ref="O16" r:id="rId5" xr:uid="{00000000-0004-0000-0000-000004000000}"/>
    <hyperlink ref="O18" r:id="rId6" xr:uid="{00000000-0004-0000-0000-000005000000}"/>
    <hyperlink ref="O27" r:id="rId7" xr:uid="{00000000-0004-0000-0000-000006000000}"/>
    <hyperlink ref="O28" r:id="rId8" xr:uid="{00000000-0004-0000-0000-000007000000}"/>
    <hyperlink ref="O31" r:id="rId9" xr:uid="{7EA5B2D8-5369-574C-B7D5-42980F0196B2}"/>
  </hyperlinks>
  <pageMargins left="0.75" right="0.75" top="1" bottom="1" header="0.511811023622047" footer="0.511811023622047"/>
  <pageSetup paperSize="9" orientation="portrait" horizontalDpi="300" verticalDpi="300"/>
  <tableParts count="1">
    <tablePart r:id="rId10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ErrorMessage="1" error="Значение должно быть из списка на листе «Справочники»" xr:uid="{00000000-0002-0000-0000-000000000000}">
          <x14:formula1>
            <xm:f>Справочники!$A$2:$A$9</xm:f>
          </x14:formula1>
          <x14:formula2>
            <xm:f>0</xm:f>
          </x14:formula2>
          <xm:sqref>B2:B500</xm:sqref>
        </x14:dataValidation>
        <x14:dataValidation type="list" allowBlank="1" showErrorMessage="1" error="Значение должно быть из списка на листе «Справочники»" xr:uid="{00000000-0002-0000-0000-000001000000}">
          <x14:formula1>
            <xm:f>Справочники!$B$2:$B$4</xm:f>
          </x14:formula1>
          <x14:formula2>
            <xm:f>0</xm:f>
          </x14:formula2>
          <xm:sqref>D2:D500</xm:sqref>
        </x14:dataValidation>
        <x14:dataValidation type="list" allowBlank="1" showErrorMessage="1" error="Значение должно быть из списка на листе «Справочники»" xr:uid="{00000000-0002-0000-0000-000002000000}">
          <x14:formula1>
            <xm:f>Справочники!$C$2:$C$4</xm:f>
          </x14:formula1>
          <x14:formula2>
            <xm:f>0</xm:f>
          </x14:formula2>
          <xm:sqref>G2:G500</xm:sqref>
        </x14:dataValidation>
        <x14:dataValidation type="list" allowBlank="1" showErrorMessage="1" error="Значение должно быть из списка на листе «Справочники»" xr:uid="{00000000-0002-0000-0000-000003000000}">
          <x14:formula1>
            <xm:f>Справочники!$D$2:$D$4</xm:f>
          </x14:formula1>
          <x14:formula2>
            <xm:f>0</xm:f>
          </x14:formula2>
          <xm:sqref>H2:H500</xm:sqref>
        </x14:dataValidation>
        <x14:dataValidation type="list" allowBlank="1" showErrorMessage="1" error="Значение должно быть из списка на листе «Справочники»" xr:uid="{00000000-0002-0000-0000-000004000000}">
          <x14:formula1>
            <xm:f>Справочники!$E$2:$E$5</xm:f>
          </x14:formula1>
          <x14:formula2>
            <xm:f>0</xm:f>
          </x14:formula2>
          <xm:sqref>M2:M500</xm:sqref>
        </x14:dataValidation>
        <x14:dataValidation type="list" allowBlank="1" showErrorMessage="1" error="Значение должно быть из списка на листе «Справочники»" xr:uid="{00000000-0002-0000-0000-000005000000}">
          <x14:formula1>
            <xm:f>Справочники!$F$2:$F$12</xm:f>
          </x14:formula1>
          <x14:formula2>
            <xm:f>0</xm:f>
          </x14:formula2>
          <xm:sqref>N2:N500</xm:sqref>
        </x14:dataValidation>
        <x14:dataValidation type="list" allowBlank="1" showErrorMessage="1" error="Значение должно быть из списка на листе «Справочники»" xr:uid="{00000000-0002-0000-0000-000006000000}">
          <x14:formula1>
            <xm:f>Справочники!$G$2:$G$3</xm:f>
          </x14:formula1>
          <x14:formula2>
            <xm:f>0</xm:f>
          </x14:formula2>
          <xm:sqref>T2:T500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zoomScaleNormal="100" workbookViewId="0"/>
  </sheetViews>
  <sheetFormatPr baseColWidth="10" defaultColWidth="8.6640625" defaultRowHeight="15" x14ac:dyDescent="0.2"/>
  <cols>
    <col min="1" max="1" width="7" customWidth="1"/>
    <col min="2" max="2" width="26" customWidth="1"/>
    <col min="3" max="3" width="14" customWidth="1"/>
    <col min="4" max="4" width="12" customWidth="1"/>
    <col min="5" max="6" width="40" customWidth="1"/>
    <col min="7" max="7" width="9" customWidth="1"/>
    <col min="8" max="8" width="8" customWidth="1"/>
    <col min="9" max="9" width="9" customWidth="1"/>
    <col min="10" max="10" width="22" customWidth="1"/>
  </cols>
  <sheetData>
    <row r="1" spans="1:10" ht="36" customHeight="1" x14ac:dyDescent="0.2">
      <c r="A1" s="1" t="s">
        <v>0</v>
      </c>
      <c r="B1" s="1" t="s">
        <v>323</v>
      </c>
      <c r="C1" s="1" t="s">
        <v>1</v>
      </c>
      <c r="D1" s="1" t="s">
        <v>324</v>
      </c>
      <c r="E1" s="1" t="s">
        <v>325</v>
      </c>
      <c r="F1" s="1" t="s">
        <v>326</v>
      </c>
      <c r="G1" s="1" t="s">
        <v>327</v>
      </c>
      <c r="H1" s="1" t="s">
        <v>16</v>
      </c>
      <c r="I1" s="1" t="s">
        <v>328</v>
      </c>
      <c r="J1" s="1" t="s">
        <v>14</v>
      </c>
    </row>
    <row r="2" spans="1:10" ht="15" customHeight="1" x14ac:dyDescent="0.2">
      <c r="A2" s="2" t="s">
        <v>22</v>
      </c>
      <c r="B2" s="2" t="s">
        <v>329</v>
      </c>
      <c r="C2" s="2" t="s">
        <v>23</v>
      </c>
      <c r="D2" s="2" t="s">
        <v>28</v>
      </c>
      <c r="E2" s="2" t="s">
        <v>330</v>
      </c>
      <c r="F2" s="2" t="s">
        <v>331</v>
      </c>
      <c r="G2" s="2">
        <f>IFERROR(INDEX(Компоненты!$L:$L,MATCH(A2,Компоненты!$A:$A,0)),"")</f>
        <v>1</v>
      </c>
      <c r="H2" s="2">
        <f>IFERROR(INDEX(Компоненты!$Q:$Q,MATCH(A2,Компоненты!$A:$A,0)),"")</f>
        <v>0</v>
      </c>
      <c r="I2" s="2">
        <f>IFERROR(INDEX(Компоненты!$R:$R,MATCH(A2,Компоненты!$A:$A,0)),"")</f>
        <v>1</v>
      </c>
      <c r="J2" s="3" t="s">
        <v>31</v>
      </c>
    </row>
    <row r="3" spans="1:10" ht="15" customHeight="1" x14ac:dyDescent="0.2">
      <c r="A3" s="2" t="s">
        <v>54</v>
      </c>
      <c r="B3" s="2" t="s">
        <v>332</v>
      </c>
      <c r="C3" s="2" t="s">
        <v>23</v>
      </c>
      <c r="D3" s="2" t="s">
        <v>28</v>
      </c>
      <c r="E3" s="2" t="s">
        <v>333</v>
      </c>
      <c r="F3" s="2" t="s">
        <v>334</v>
      </c>
      <c r="G3" s="2">
        <f>IFERROR(INDEX(Компоненты!$L:$L,MATCH(A3,Компоненты!$A:$A,0)),"")</f>
        <v>1</v>
      </c>
      <c r="H3" s="2">
        <f>IFERROR(INDEX(Компоненты!$Q:$Q,MATCH(A3,Компоненты!$A:$A,0)),"")</f>
        <v>0</v>
      </c>
      <c r="I3" s="2">
        <f>IFERROR(INDEX(Компоненты!$R:$R,MATCH(A3,Компоненты!$A:$A,0)),"")</f>
        <v>1</v>
      </c>
      <c r="J3" s="3" t="s">
        <v>57</v>
      </c>
    </row>
    <row r="4" spans="1:10" ht="23.25" customHeight="1" x14ac:dyDescent="0.2">
      <c r="A4" s="2" t="s">
        <v>86</v>
      </c>
      <c r="B4" s="2" t="s">
        <v>335</v>
      </c>
      <c r="C4" s="2" t="s">
        <v>87</v>
      </c>
      <c r="D4" s="2" t="s">
        <v>28</v>
      </c>
      <c r="E4" s="2" t="s">
        <v>336</v>
      </c>
      <c r="F4" s="2" t="s">
        <v>337</v>
      </c>
      <c r="G4" s="2">
        <f>IFERROR(INDEX(Компоненты!$L:$L,MATCH(A4,Компоненты!$A:$A,0)),"")</f>
        <v>1</v>
      </c>
      <c r="H4" s="2">
        <f>IFERROR(INDEX(Компоненты!$Q:$Q,MATCH(A4,Компоненты!$A:$A,0)),"")</f>
        <v>1</v>
      </c>
      <c r="I4" s="2">
        <f>IFERROR(INDEX(Компоненты!$R:$R,MATCH(A4,Компоненты!$A:$A,0)),"")</f>
        <v>0</v>
      </c>
      <c r="J4" s="3" t="s">
        <v>90</v>
      </c>
    </row>
    <row r="5" spans="1:10" ht="15" customHeight="1" x14ac:dyDescent="0.2">
      <c r="A5" s="2" t="s">
        <v>98</v>
      </c>
      <c r="B5" s="2" t="s">
        <v>338</v>
      </c>
      <c r="C5" s="2" t="s">
        <v>99</v>
      </c>
      <c r="D5" s="2" t="s">
        <v>28</v>
      </c>
      <c r="E5" s="2" t="s">
        <v>339</v>
      </c>
      <c r="F5" s="2" t="s">
        <v>340</v>
      </c>
      <c r="G5" s="2">
        <f>IFERROR(INDEX(Компоненты!$L:$L,MATCH(A5,Компоненты!$A:$A,0)),"")</f>
        <v>1</v>
      </c>
      <c r="H5" s="2">
        <f>IFERROR(INDEX(Компоненты!$Q:$Q,MATCH(A5,Компоненты!$A:$A,0)),"")</f>
        <v>1</v>
      </c>
      <c r="I5" s="2">
        <f>IFERROR(INDEX(Компоненты!$R:$R,MATCH(A5,Компоненты!$A:$A,0)),"")</f>
        <v>0</v>
      </c>
      <c r="J5" s="3" t="s">
        <v>102</v>
      </c>
    </row>
    <row r="6" spans="1:10" ht="23.25" customHeight="1" x14ac:dyDescent="0.2">
      <c r="A6" s="2" t="s">
        <v>125</v>
      </c>
      <c r="B6" s="2" t="s">
        <v>341</v>
      </c>
      <c r="C6" s="2" t="s">
        <v>126</v>
      </c>
      <c r="D6" s="2" t="s">
        <v>193</v>
      </c>
      <c r="E6" s="2" t="s">
        <v>342</v>
      </c>
      <c r="F6" s="2" t="s">
        <v>343</v>
      </c>
      <c r="G6" s="2">
        <f>IFERROR(INDEX(Компоненты!$L:$L,MATCH(A6,Компоненты!$A:$A,0)),"")</f>
        <v>4</v>
      </c>
      <c r="H6" s="2">
        <f>IFERROR(INDEX(Компоненты!$Q:$Q,MATCH(A6,Компоненты!$A:$A,0)),"")</f>
        <v>4</v>
      </c>
      <c r="I6" s="2">
        <f>IFERROR(INDEX(Компоненты!$R:$R,MATCH(A6,Компоненты!$A:$A,0)),"")</f>
        <v>0</v>
      </c>
      <c r="J6" s="3" t="s">
        <v>130</v>
      </c>
    </row>
    <row r="7" spans="1:10" ht="15" customHeight="1" x14ac:dyDescent="0.2">
      <c r="A7" s="2" t="s">
        <v>161</v>
      </c>
      <c r="B7" s="2" t="s">
        <v>344</v>
      </c>
      <c r="C7" s="2" t="s">
        <v>126</v>
      </c>
      <c r="D7" s="2" t="s">
        <v>28</v>
      </c>
      <c r="E7" s="2" t="s">
        <v>345</v>
      </c>
      <c r="F7" s="2" t="s">
        <v>346</v>
      </c>
      <c r="G7" s="2">
        <f>IFERROR(INDEX(Компоненты!$L:$L,MATCH(A7,Компоненты!$A:$A,0)),"")</f>
        <v>4</v>
      </c>
      <c r="H7" s="2">
        <f>IFERROR(INDEX(Компоненты!$Q:$Q,MATCH(A7,Компоненты!$A:$A,0)),"")</f>
        <v>4</v>
      </c>
      <c r="I7" s="2">
        <f>IFERROR(INDEX(Компоненты!$R:$R,MATCH(A7,Компоненты!$A:$A,0)),"")</f>
        <v>0</v>
      </c>
      <c r="J7" s="3" t="s">
        <v>164</v>
      </c>
    </row>
    <row r="8" spans="1:10" ht="23.25" customHeight="1" x14ac:dyDescent="0.2">
      <c r="A8" s="2" t="s">
        <v>181</v>
      </c>
      <c r="B8" s="2" t="s">
        <v>347</v>
      </c>
      <c r="C8" s="2" t="s">
        <v>99</v>
      </c>
      <c r="D8" s="2" t="s">
        <v>28</v>
      </c>
      <c r="E8" s="2" t="s">
        <v>348</v>
      </c>
      <c r="F8" s="2" t="s">
        <v>349</v>
      </c>
      <c r="G8" s="2">
        <f>IFERROR(INDEX(Компоненты!$L:$L,MATCH(A8,Компоненты!$A:$A,0)),"")</f>
        <v>4</v>
      </c>
      <c r="H8" s="2">
        <f>IFERROR(INDEX(Компоненты!$Q:$Q,MATCH(A8,Компоненты!$A:$A,0)),"")</f>
        <v>4</v>
      </c>
      <c r="I8" s="2">
        <f>IFERROR(INDEX(Компоненты!$R:$R,MATCH(A8,Компоненты!$A:$A,0)),"")</f>
        <v>0</v>
      </c>
      <c r="J8" s="2"/>
    </row>
    <row r="9" spans="1:10" ht="15" customHeight="1" x14ac:dyDescent="0.2">
      <c r="A9" s="2" t="s">
        <v>226</v>
      </c>
      <c r="B9" s="2" t="s">
        <v>350</v>
      </c>
      <c r="C9" s="2" t="s">
        <v>227</v>
      </c>
      <c r="D9" s="2" t="s">
        <v>193</v>
      </c>
      <c r="E9" s="2" t="s">
        <v>30</v>
      </c>
      <c r="F9" s="2" t="s">
        <v>351</v>
      </c>
      <c r="G9" s="2">
        <f>IFERROR(INDEX(Компоненты!$L:$L,MATCH(A9,Компоненты!$A:$A,0)),"")</f>
        <v>4</v>
      </c>
      <c r="H9" s="2">
        <f>IFERROR(INDEX(Компоненты!$Q:$Q,MATCH(A9,Компоненты!$A:$A,0)),"")</f>
        <v>0</v>
      </c>
      <c r="I9" s="2">
        <f>IFERROR(INDEX(Компоненты!$R:$R,MATCH(A9,Компоненты!$A:$A,0)),"")</f>
        <v>4</v>
      </c>
      <c r="J9" s="3" t="s">
        <v>231</v>
      </c>
    </row>
    <row r="11" spans="1:10" ht="15" customHeight="1" x14ac:dyDescent="0.2">
      <c r="A11" s="5" t="s">
        <v>352</v>
      </c>
    </row>
  </sheetData>
  <hyperlinks>
    <hyperlink ref="J2" r:id="rId1" xr:uid="{00000000-0004-0000-0100-000000000000}"/>
    <hyperlink ref="J3" r:id="rId2" xr:uid="{00000000-0004-0000-0100-000001000000}"/>
    <hyperlink ref="J4" r:id="rId3" xr:uid="{00000000-0004-0000-0100-000002000000}"/>
    <hyperlink ref="J5" r:id="rId4" xr:uid="{00000000-0004-0000-0100-000003000000}"/>
    <hyperlink ref="J6" r:id="rId5" xr:uid="{00000000-0004-0000-0100-000004000000}"/>
    <hyperlink ref="J7" r:id="rId6" xr:uid="{00000000-0004-0000-0100-000005000000}"/>
    <hyperlink ref="J9" r:id="rId7" xr:uid="{00000000-0004-0000-0100-000006000000}"/>
  </hyperlinks>
  <pageMargins left="0.75" right="0.75" top="1" bottom="1" header="0.511811023622047" footer="0.511811023622047"/>
  <pageSetup paperSize="9" orientation="portrait" horizontalDpi="300" verticalDpi="300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zoomScaleNormal="100" workbookViewId="0"/>
  </sheetViews>
  <sheetFormatPr baseColWidth="10" defaultColWidth="8.6640625" defaultRowHeight="15" x14ac:dyDescent="0.2"/>
  <cols>
    <col min="1" max="1" width="7" customWidth="1"/>
    <col min="2" max="2" width="14" customWidth="1"/>
    <col min="3" max="3" width="50" customWidth="1"/>
    <col min="4" max="4" width="36" customWidth="1"/>
    <col min="5" max="5" width="50" customWidth="1"/>
    <col min="6" max="6" width="13" customWidth="1"/>
  </cols>
  <sheetData>
    <row r="1" spans="1:6" ht="23.25" customHeight="1" x14ac:dyDescent="0.2">
      <c r="A1" s="6" t="s">
        <v>0</v>
      </c>
      <c r="B1" s="6" t="s">
        <v>1</v>
      </c>
      <c r="C1" s="6" t="s">
        <v>353</v>
      </c>
      <c r="D1" s="6" t="s">
        <v>354</v>
      </c>
      <c r="E1" s="6" t="s">
        <v>355</v>
      </c>
      <c r="F1" s="6" t="s">
        <v>356</v>
      </c>
    </row>
    <row r="2" spans="1:6" ht="15" customHeight="1" x14ac:dyDescent="0.2">
      <c r="A2" s="7" t="s">
        <v>357</v>
      </c>
      <c r="B2" s="7" t="s">
        <v>23</v>
      </c>
      <c r="C2" s="7" t="s">
        <v>358</v>
      </c>
      <c r="D2" s="7" t="s">
        <v>359</v>
      </c>
      <c r="E2" s="7" t="s">
        <v>360</v>
      </c>
      <c r="F2" s="7" t="s">
        <v>361</v>
      </c>
    </row>
    <row r="3" spans="1:6" ht="23.25" customHeight="1" x14ac:dyDescent="0.2">
      <c r="A3" s="7" t="s">
        <v>362</v>
      </c>
      <c r="B3" s="7" t="s">
        <v>109</v>
      </c>
      <c r="C3" s="7" t="s">
        <v>363</v>
      </c>
      <c r="D3" s="7" t="s">
        <v>364</v>
      </c>
      <c r="E3" s="7" t="s">
        <v>365</v>
      </c>
      <c r="F3" s="7" t="s">
        <v>361</v>
      </c>
    </row>
    <row r="4" spans="1:6" ht="15" customHeight="1" x14ac:dyDescent="0.2">
      <c r="A4" s="7" t="s">
        <v>366</v>
      </c>
      <c r="B4" s="7" t="s">
        <v>126</v>
      </c>
      <c r="C4" s="7" t="s">
        <v>367</v>
      </c>
      <c r="D4" s="7" t="s">
        <v>139</v>
      </c>
      <c r="E4" s="7" t="s">
        <v>368</v>
      </c>
      <c r="F4" s="7" t="s">
        <v>361</v>
      </c>
    </row>
    <row r="5" spans="1:6" ht="23.25" customHeight="1" x14ac:dyDescent="0.2">
      <c r="A5" s="7" t="s">
        <v>369</v>
      </c>
      <c r="B5" s="7" t="s">
        <v>214</v>
      </c>
      <c r="C5" s="7" t="s">
        <v>370</v>
      </c>
      <c r="D5" s="7" t="s">
        <v>371</v>
      </c>
      <c r="E5" s="7" t="s">
        <v>372</v>
      </c>
      <c r="F5" s="7" t="s">
        <v>373</v>
      </c>
    </row>
    <row r="6" spans="1:6" ht="15" customHeight="1" x14ac:dyDescent="0.2">
      <c r="A6" s="7" t="s">
        <v>374</v>
      </c>
      <c r="B6" s="7" t="s">
        <v>109</v>
      </c>
      <c r="C6" s="7" t="s">
        <v>375</v>
      </c>
      <c r="D6" s="7" t="s">
        <v>376</v>
      </c>
      <c r="E6" s="7" t="s">
        <v>377</v>
      </c>
      <c r="F6" s="7" t="s">
        <v>361</v>
      </c>
    </row>
    <row r="7" spans="1:6" ht="23.25" customHeight="1" x14ac:dyDescent="0.2">
      <c r="A7" s="7" t="s">
        <v>378</v>
      </c>
      <c r="B7" s="7" t="s">
        <v>227</v>
      </c>
      <c r="C7" s="7" t="s">
        <v>379</v>
      </c>
      <c r="D7" s="7" t="s">
        <v>380</v>
      </c>
      <c r="E7" s="7" t="s">
        <v>381</v>
      </c>
      <c r="F7" s="7" t="s">
        <v>361</v>
      </c>
    </row>
    <row r="8" spans="1:6" ht="15" customHeight="1" x14ac:dyDescent="0.2">
      <c r="A8" s="7" t="s">
        <v>382</v>
      </c>
      <c r="B8" s="7" t="s">
        <v>227</v>
      </c>
      <c r="C8" s="7" t="s">
        <v>383</v>
      </c>
      <c r="D8" s="7" t="s">
        <v>384</v>
      </c>
      <c r="E8" s="7" t="s">
        <v>385</v>
      </c>
      <c r="F8" s="7" t="s">
        <v>361</v>
      </c>
    </row>
    <row r="9" spans="1:6" ht="23.25" customHeight="1" x14ac:dyDescent="0.2">
      <c r="A9" s="7" t="s">
        <v>386</v>
      </c>
      <c r="B9" s="7" t="s">
        <v>126</v>
      </c>
      <c r="C9" s="7" t="s">
        <v>387</v>
      </c>
      <c r="D9" s="7" t="s">
        <v>388</v>
      </c>
      <c r="E9" s="7" t="s">
        <v>389</v>
      </c>
      <c r="F9" s="7" t="s">
        <v>361</v>
      </c>
    </row>
    <row r="10" spans="1:6" ht="23.25" customHeight="1" x14ac:dyDescent="0.2">
      <c r="A10" s="7" t="s">
        <v>390</v>
      </c>
      <c r="B10" s="7" t="s">
        <v>126</v>
      </c>
      <c r="C10" s="7" t="s">
        <v>391</v>
      </c>
      <c r="D10" s="7" t="s">
        <v>392</v>
      </c>
      <c r="E10" s="7" t="s">
        <v>393</v>
      </c>
      <c r="F10" s="7" t="s">
        <v>151</v>
      </c>
    </row>
    <row r="11" spans="1:6" ht="15" customHeight="1" x14ac:dyDescent="0.2">
      <c r="A11" s="7" t="s">
        <v>394</v>
      </c>
      <c r="B11" s="7" t="s">
        <v>99</v>
      </c>
      <c r="C11" s="7" t="s">
        <v>395</v>
      </c>
      <c r="D11" s="7" t="s">
        <v>396</v>
      </c>
      <c r="E11" s="7" t="s">
        <v>397</v>
      </c>
      <c r="F11" s="7" t="s">
        <v>398</v>
      </c>
    </row>
    <row r="12" spans="1:6" ht="15" customHeight="1" x14ac:dyDescent="0.2">
      <c r="A12" s="7" t="s">
        <v>399</v>
      </c>
      <c r="B12" s="7" t="s">
        <v>87</v>
      </c>
      <c r="C12" s="7" t="s">
        <v>400</v>
      </c>
      <c r="D12" s="7" t="s">
        <v>401</v>
      </c>
      <c r="E12" s="7" t="s">
        <v>402</v>
      </c>
      <c r="F12" s="7" t="s">
        <v>398</v>
      </c>
    </row>
    <row r="13" spans="1:6" ht="23.25" customHeight="1" x14ac:dyDescent="0.2">
      <c r="A13" s="7" t="s">
        <v>403</v>
      </c>
      <c r="B13" s="7" t="s">
        <v>126</v>
      </c>
      <c r="C13" s="7" t="s">
        <v>404</v>
      </c>
      <c r="D13" s="7" t="s">
        <v>405</v>
      </c>
      <c r="E13" s="7" t="s">
        <v>406</v>
      </c>
      <c r="F13" s="7" t="s">
        <v>361</v>
      </c>
    </row>
    <row r="14" spans="1:6" ht="23.25" customHeight="1" x14ac:dyDescent="0.2">
      <c r="A14" s="7" t="s">
        <v>407</v>
      </c>
      <c r="B14" s="7" t="s">
        <v>23</v>
      </c>
      <c r="C14" s="7" t="s">
        <v>408</v>
      </c>
      <c r="D14" s="7" t="s">
        <v>409</v>
      </c>
      <c r="E14" s="7" t="s">
        <v>410</v>
      </c>
      <c r="F14" s="7" t="s">
        <v>361</v>
      </c>
    </row>
    <row r="15" spans="1:6" ht="23.25" customHeight="1" x14ac:dyDescent="0.2">
      <c r="A15" s="7" t="s">
        <v>411</v>
      </c>
      <c r="B15" s="7" t="s">
        <v>109</v>
      </c>
      <c r="C15" s="7" t="s">
        <v>412</v>
      </c>
      <c r="D15" s="7" t="s">
        <v>413</v>
      </c>
      <c r="E15" s="7" t="s">
        <v>414</v>
      </c>
      <c r="F15" s="7" t="s">
        <v>398</v>
      </c>
    </row>
    <row r="16" spans="1:6" ht="23.25" customHeight="1" x14ac:dyDescent="0.2">
      <c r="A16" s="7" t="s">
        <v>415</v>
      </c>
      <c r="B16" s="7" t="s">
        <v>23</v>
      </c>
      <c r="C16" s="7" t="s">
        <v>416</v>
      </c>
      <c r="D16" s="7" t="s">
        <v>417</v>
      </c>
      <c r="E16" s="7" t="s">
        <v>418</v>
      </c>
      <c r="F16" s="7" t="s">
        <v>398</v>
      </c>
    </row>
    <row r="17" spans="1:6" ht="34.5" customHeight="1" x14ac:dyDescent="0.2">
      <c r="A17" s="7" t="s">
        <v>419</v>
      </c>
      <c r="B17" s="7" t="s">
        <v>23</v>
      </c>
      <c r="C17" s="7" t="s">
        <v>420</v>
      </c>
      <c r="D17" s="7" t="s">
        <v>421</v>
      </c>
      <c r="E17" s="7" t="s">
        <v>422</v>
      </c>
      <c r="F17" s="7" t="s">
        <v>423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"/>
  <sheetViews>
    <sheetView zoomScaleNormal="100" workbookViewId="0"/>
  </sheetViews>
  <sheetFormatPr baseColWidth="10" defaultColWidth="8.6640625" defaultRowHeight="15" x14ac:dyDescent="0.2"/>
  <cols>
    <col min="1" max="1" width="36" customWidth="1"/>
    <col min="2" max="3" width="12" customWidth="1"/>
    <col min="4" max="4" width="16" customWidth="1"/>
    <col min="5" max="5" width="20" customWidth="1"/>
  </cols>
  <sheetData>
    <row r="1" spans="1:5" ht="15" customHeight="1" x14ac:dyDescent="0.2">
      <c r="A1" s="8" t="s">
        <v>424</v>
      </c>
    </row>
    <row r="3" spans="1:5" ht="15" customHeight="1" x14ac:dyDescent="0.2">
      <c r="A3" s="9" t="s">
        <v>7</v>
      </c>
      <c r="B3" s="9" t="s">
        <v>425</v>
      </c>
      <c r="C3" s="9" t="s">
        <v>426</v>
      </c>
      <c r="D3" s="9" t="s">
        <v>427</v>
      </c>
      <c r="E3" s="9" t="s">
        <v>18</v>
      </c>
    </row>
    <row r="4" spans="1:5" ht="15" customHeight="1" x14ac:dyDescent="0.2">
      <c r="A4" s="10" t="s">
        <v>28</v>
      </c>
      <c r="B4" s="10">
        <f>COUNTIFS(Компоненты!$H:$H,A4)</f>
        <v>59</v>
      </c>
      <c r="C4" s="10">
        <f>SUMIFS(Компоненты!$L:$L,Компоненты!$H:$H,A4)</f>
        <v>193</v>
      </c>
      <c r="D4" s="10">
        <f>SUMIFS(Компоненты!$R:$R,Компоненты!$H:$H,A4)</f>
        <v>167</v>
      </c>
      <c r="E4" s="10">
        <f>SUMIFS(Компоненты!$S:$S,Компоненты!$H:$H,A4)</f>
        <v>18644</v>
      </c>
    </row>
    <row r="5" spans="1:5" ht="15" customHeight="1" x14ac:dyDescent="0.2">
      <c r="A5" s="10" t="s">
        <v>428</v>
      </c>
      <c r="B5" s="10">
        <f>COUNTIFS(Компоненты!$H:$H,A5)</f>
        <v>0</v>
      </c>
      <c r="C5" s="10">
        <f>SUMIFS(Компоненты!$L:$L,Компоненты!$H:$H,A5)</f>
        <v>0</v>
      </c>
      <c r="D5" s="10">
        <f>SUMIFS(Компоненты!$R:$R,Компоненты!$H:$H,A5)</f>
        <v>0</v>
      </c>
      <c r="E5" s="10">
        <f>SUMIFS(Компоненты!$S:$S,Компоненты!$H:$H,A5)</f>
        <v>0</v>
      </c>
    </row>
    <row r="6" spans="1:5" ht="15" customHeight="1" x14ac:dyDescent="0.2">
      <c r="A6" s="10" t="s">
        <v>193</v>
      </c>
      <c r="B6" s="10">
        <f>COUNTIFS(Компоненты!$H:$H,A6)</f>
        <v>5</v>
      </c>
      <c r="C6" s="10">
        <f>SUMIFS(Компоненты!$L:$L,Компоненты!$H:$H,A6)</f>
        <v>15</v>
      </c>
      <c r="D6" s="10">
        <f>SUMIFS(Компоненты!$R:$R,Компоненты!$H:$H,A6)</f>
        <v>7</v>
      </c>
      <c r="E6" s="10">
        <f>SUMIFS(Компоненты!$S:$S,Компоненты!$H:$H,A6)</f>
        <v>600</v>
      </c>
    </row>
    <row r="7" spans="1:5" ht="15" customHeight="1" x14ac:dyDescent="0.2">
      <c r="A7" s="11" t="s">
        <v>429</v>
      </c>
      <c r="B7" s="11">
        <f>SUM(B4:B6)</f>
        <v>64</v>
      </c>
      <c r="C7" s="11">
        <f>SUM(C4:C6)</f>
        <v>208</v>
      </c>
      <c r="D7" s="11">
        <f>SUM(D4:D6)</f>
        <v>174</v>
      </c>
      <c r="E7" s="11">
        <f>SUM(E4:E6)</f>
        <v>19244</v>
      </c>
    </row>
    <row r="10" spans="1:5" ht="15" customHeight="1" x14ac:dyDescent="0.2">
      <c r="A10" s="9" t="s">
        <v>1</v>
      </c>
      <c r="B10" s="9" t="s">
        <v>425</v>
      </c>
      <c r="C10" s="9" t="s">
        <v>426</v>
      </c>
      <c r="D10" s="9" t="s">
        <v>430</v>
      </c>
      <c r="E10" s="9" t="s">
        <v>18</v>
      </c>
    </row>
    <row r="11" spans="1:5" ht="15" customHeight="1" x14ac:dyDescent="0.2">
      <c r="A11" s="10" t="s">
        <v>23</v>
      </c>
      <c r="B11" s="10">
        <f>COUNTIFS(Компоненты!$B:$B,A11)</f>
        <v>20</v>
      </c>
      <c r="C11" s="10">
        <f>SUMIFS(Компоненты!$L:$L,Компоненты!$B:$B,A11)</f>
        <v>31</v>
      </c>
      <c r="D11" s="10">
        <f>COUNTIFS(Компоненты!$B:$B,A11,Компоненты!$H:$H,"Уточняется")</f>
        <v>0</v>
      </c>
      <c r="E11" s="10">
        <f>SUMIFS(Компоненты!$S:$S,Компоненты!$B:$B,A11)</f>
        <v>7367</v>
      </c>
    </row>
    <row r="12" spans="1:5" ht="15" customHeight="1" x14ac:dyDescent="0.2">
      <c r="A12" s="10" t="s">
        <v>87</v>
      </c>
      <c r="B12" s="10">
        <f>COUNTIFS(Компоненты!$B:$B,A12)</f>
        <v>4</v>
      </c>
      <c r="C12" s="10">
        <f>SUMIFS(Компоненты!$L:$L,Компоненты!$B:$B,A12)</f>
        <v>10</v>
      </c>
      <c r="D12" s="10">
        <f>COUNTIFS(Компоненты!$B:$B,A12,Компоненты!$H:$H,"Уточняется")</f>
        <v>0</v>
      </c>
      <c r="E12" s="10">
        <f>SUMIFS(Компоненты!$S:$S,Компоненты!$B:$B,A12)</f>
        <v>0</v>
      </c>
    </row>
    <row r="13" spans="1:5" ht="15" customHeight="1" x14ac:dyDescent="0.2">
      <c r="A13" s="10" t="s">
        <v>126</v>
      </c>
      <c r="B13" s="10">
        <f>COUNTIFS(Компоненты!$B:$B,A13)</f>
        <v>15</v>
      </c>
      <c r="C13" s="10">
        <f>SUMIFS(Компоненты!$L:$L,Компоненты!$B:$B,A13)</f>
        <v>71</v>
      </c>
      <c r="D13" s="10">
        <f>COUNTIFS(Компоненты!$B:$B,A13,Компоненты!$H:$H,"Уточняется")</f>
        <v>0</v>
      </c>
      <c r="E13" s="10">
        <f>SUMIFS(Компоненты!$S:$S,Компоненты!$B:$B,A13)</f>
        <v>9822</v>
      </c>
    </row>
    <row r="14" spans="1:5" ht="15" customHeight="1" x14ac:dyDescent="0.2">
      <c r="A14" s="10" t="s">
        <v>109</v>
      </c>
      <c r="B14" s="10">
        <f>COUNTIFS(Компоненты!$B:$B,A14)</f>
        <v>9</v>
      </c>
      <c r="C14" s="10">
        <f>SUMIFS(Компоненты!$L:$L,Компоненты!$B:$B,A14)</f>
        <v>54</v>
      </c>
      <c r="D14" s="10">
        <f>COUNTIFS(Компоненты!$B:$B,A14,Компоненты!$H:$H,"Уточняется")</f>
        <v>0</v>
      </c>
      <c r="E14" s="10">
        <f>SUMIFS(Компоненты!$S:$S,Компоненты!$B:$B,A14)</f>
        <v>1455</v>
      </c>
    </row>
    <row r="15" spans="1:5" ht="15" customHeight="1" x14ac:dyDescent="0.2">
      <c r="A15" s="10" t="s">
        <v>99</v>
      </c>
      <c r="B15" s="10">
        <f>COUNTIFS(Компоненты!$B:$B,A15)</f>
        <v>5</v>
      </c>
      <c r="C15" s="10">
        <f>SUMIFS(Компоненты!$L:$L,Компоненты!$B:$B,A15)</f>
        <v>18</v>
      </c>
      <c r="D15" s="10">
        <f>COUNTIFS(Компоненты!$B:$B,A15,Компоненты!$H:$H,"Уточняется")</f>
        <v>1</v>
      </c>
      <c r="E15" s="10">
        <f>SUMIFS(Компоненты!$S:$S,Компоненты!$B:$B,A15)</f>
        <v>0</v>
      </c>
    </row>
    <row r="16" spans="1:5" ht="15" customHeight="1" x14ac:dyDescent="0.2">
      <c r="A16" s="10" t="s">
        <v>214</v>
      </c>
      <c r="B16" s="10">
        <f>COUNTIFS(Компоненты!$B:$B,A16)</f>
        <v>3</v>
      </c>
      <c r="C16" s="10">
        <f>SUMIFS(Компоненты!$L:$L,Компоненты!$B:$B,A16)</f>
        <v>13</v>
      </c>
      <c r="D16" s="10">
        <f>COUNTIFS(Компоненты!$B:$B,A16,Компоненты!$H:$H,"Уточняется")</f>
        <v>0</v>
      </c>
      <c r="E16" s="10">
        <f>SUMIFS(Компоненты!$S:$S,Компоненты!$B:$B,A16)</f>
        <v>0</v>
      </c>
    </row>
    <row r="17" spans="1:5" ht="15" customHeight="1" x14ac:dyDescent="0.2">
      <c r="A17" s="10" t="s">
        <v>227</v>
      </c>
      <c r="B17" s="10">
        <f>COUNTIFS(Компоненты!$B:$B,A17)</f>
        <v>5</v>
      </c>
      <c r="C17" s="10">
        <f>SUMIFS(Компоненты!$L:$L,Компоненты!$B:$B,A17)</f>
        <v>8</v>
      </c>
      <c r="D17" s="10">
        <f>COUNTIFS(Компоненты!$B:$B,A17,Компоненты!$H:$H,"Уточняется")</f>
        <v>3</v>
      </c>
      <c r="E17" s="10">
        <f>SUMIFS(Компоненты!$S:$S,Компоненты!$B:$B,A17)</f>
        <v>600</v>
      </c>
    </row>
    <row r="18" spans="1:5" ht="15" customHeight="1" x14ac:dyDescent="0.2">
      <c r="A18" s="10" t="s">
        <v>247</v>
      </c>
      <c r="B18" s="10">
        <f>COUNTIFS(Компоненты!$B:$B,A18)</f>
        <v>3</v>
      </c>
      <c r="C18" s="10">
        <f>SUMIFS(Компоненты!$L:$L,Компоненты!$B:$B,A18)</f>
        <v>3</v>
      </c>
      <c r="D18" s="10">
        <f>COUNTIFS(Компоненты!$B:$B,A18,Компоненты!$H:$H,"Уточняется")</f>
        <v>1</v>
      </c>
      <c r="E18" s="10">
        <f>SUMIFS(Компоненты!$S:$S,Компоненты!$B:$B,A18)</f>
        <v>0</v>
      </c>
    </row>
    <row r="19" spans="1:5" ht="15" customHeight="1" x14ac:dyDescent="0.2">
      <c r="A19" s="11" t="s">
        <v>429</v>
      </c>
      <c r="B19" s="11">
        <f>SUM(B11:B18)</f>
        <v>64</v>
      </c>
      <c r="C19" s="11">
        <f>SUM(C11:C18)</f>
        <v>208</v>
      </c>
      <c r="D19" s="11">
        <f>SUM(D11:D18)</f>
        <v>5</v>
      </c>
      <c r="E19" s="11">
        <f>SUM(E11:E18)</f>
        <v>19244</v>
      </c>
    </row>
    <row r="22" spans="1:5" ht="15" customHeight="1" x14ac:dyDescent="0.2">
      <c r="A22" s="9" t="s">
        <v>6</v>
      </c>
      <c r="B22" s="9" t="s">
        <v>425</v>
      </c>
    </row>
    <row r="23" spans="1:5" ht="15" customHeight="1" x14ac:dyDescent="0.2">
      <c r="A23" s="10" t="s">
        <v>27</v>
      </c>
      <c r="B23" s="10">
        <f>COUNTIFS(Компоненты!$G:$G,A23)</f>
        <v>55</v>
      </c>
    </row>
    <row r="24" spans="1:5" ht="15" customHeight="1" x14ac:dyDescent="0.2">
      <c r="A24" s="10" t="s">
        <v>192</v>
      </c>
      <c r="B24" s="10">
        <f>COUNTIFS(Компоненты!$G:$G,A24)</f>
        <v>2</v>
      </c>
    </row>
    <row r="25" spans="1:5" ht="15" customHeight="1" x14ac:dyDescent="0.2">
      <c r="A25" s="10" t="s">
        <v>221</v>
      </c>
      <c r="B25" s="10">
        <f>COUNTIFS(Компоненты!$G:$G,A25)</f>
        <v>7</v>
      </c>
    </row>
    <row r="27" spans="1:5" ht="15" customHeight="1" x14ac:dyDescent="0.2">
      <c r="A27" s="9" t="s">
        <v>3</v>
      </c>
      <c r="B27" s="9" t="s">
        <v>425</v>
      </c>
      <c r="C27" s="9" t="s">
        <v>426</v>
      </c>
    </row>
    <row r="28" spans="1:5" ht="15" customHeight="1" x14ac:dyDescent="0.2">
      <c r="A28" s="10" t="s">
        <v>25</v>
      </c>
      <c r="B28" s="10">
        <f>COUNTIFS(Компоненты!$D:$D,A28)</f>
        <v>8</v>
      </c>
      <c r="C28" s="10">
        <f>SUMIFS(Компоненты!$L:$L,Компоненты!$D:$D,A28)</f>
        <v>20</v>
      </c>
    </row>
    <row r="29" spans="1:5" ht="15" customHeight="1" x14ac:dyDescent="0.2">
      <c r="A29" s="10" t="s">
        <v>37</v>
      </c>
      <c r="B29" s="10">
        <f>COUNTIFS(Компоненты!$D:$D,A29)</f>
        <v>52</v>
      </c>
      <c r="C29" s="10">
        <f>SUMIFS(Компоненты!$L:$L,Компоненты!$D:$D,A29)</f>
        <v>168</v>
      </c>
    </row>
    <row r="30" spans="1:5" ht="15" customHeight="1" x14ac:dyDescent="0.2">
      <c r="A30" s="10" t="s">
        <v>134</v>
      </c>
      <c r="B30" s="10">
        <f>COUNTIFS(Компоненты!$D:$D,A30)</f>
        <v>4</v>
      </c>
      <c r="C30" s="10">
        <f>SUMIFS(Компоненты!$L:$L,Компоненты!$D:$D,A30)</f>
        <v>20</v>
      </c>
    </row>
    <row r="32" spans="1:5" ht="15" customHeight="1" x14ac:dyDescent="0.2">
      <c r="A32" s="10" t="s">
        <v>431</v>
      </c>
      <c r="B32" s="10">
        <f>COUNTIFS(Компоненты!$T:$T,"Да")</f>
        <v>7</v>
      </c>
    </row>
    <row r="33" spans="1:2" ht="15" customHeight="1" x14ac:dyDescent="0.2">
      <c r="A33" s="10" t="s">
        <v>432</v>
      </c>
      <c r="B33" s="10">
        <f>COUNTA(Отклонено!$A:$A)-1</f>
        <v>16</v>
      </c>
    </row>
    <row r="35" spans="1:2" ht="15" customHeight="1" x14ac:dyDescent="0.2">
      <c r="A35" s="5" t="s">
        <v>433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zoomScaleNormal="100" workbookViewId="0"/>
  </sheetViews>
  <sheetFormatPr baseColWidth="10" defaultColWidth="8.6640625" defaultRowHeight="15" x14ac:dyDescent="0.2"/>
  <cols>
    <col min="1" max="7" width="18" customWidth="1"/>
  </cols>
  <sheetData>
    <row r="1" spans="1:7" ht="15" customHeight="1" x14ac:dyDescent="0.2">
      <c r="A1" s="12" t="s">
        <v>1</v>
      </c>
      <c r="B1" s="12" t="s">
        <v>3</v>
      </c>
      <c r="C1" s="12" t="s">
        <v>434</v>
      </c>
      <c r="D1" s="12" t="s">
        <v>324</v>
      </c>
      <c r="E1" s="12" t="s">
        <v>12</v>
      </c>
      <c r="F1" s="12" t="s">
        <v>13</v>
      </c>
      <c r="G1" s="12" t="s">
        <v>435</v>
      </c>
    </row>
    <row r="2" spans="1:7" ht="15" customHeight="1" x14ac:dyDescent="0.2">
      <c r="A2" s="13" t="s">
        <v>23</v>
      </c>
      <c r="B2" s="13" t="s">
        <v>25</v>
      </c>
      <c r="C2" s="13" t="s">
        <v>27</v>
      </c>
      <c r="D2" s="13" t="s">
        <v>28</v>
      </c>
      <c r="E2" s="13" t="s">
        <v>29</v>
      </c>
      <c r="F2" s="13" t="s">
        <v>78</v>
      </c>
      <c r="G2" s="13" t="s">
        <v>91</v>
      </c>
    </row>
    <row r="3" spans="1:7" ht="15" customHeight="1" x14ac:dyDescent="0.2">
      <c r="A3" s="13" t="s">
        <v>87</v>
      </c>
      <c r="B3" s="13" t="s">
        <v>37</v>
      </c>
      <c r="C3" s="13" t="s">
        <v>192</v>
      </c>
      <c r="D3" s="13" t="s">
        <v>428</v>
      </c>
      <c r="E3" s="13" t="s">
        <v>77</v>
      </c>
      <c r="F3" s="13" t="s">
        <v>51</v>
      </c>
      <c r="G3" s="13" t="s">
        <v>32</v>
      </c>
    </row>
    <row r="4" spans="1:7" ht="15" customHeight="1" x14ac:dyDescent="0.2">
      <c r="A4" s="13" t="s">
        <v>126</v>
      </c>
      <c r="B4" s="13" t="s">
        <v>134</v>
      </c>
      <c r="C4" s="13" t="s">
        <v>221</v>
      </c>
      <c r="D4" s="13" t="s">
        <v>193</v>
      </c>
      <c r="E4" s="13" t="s">
        <v>72</v>
      </c>
      <c r="F4" s="13" t="s">
        <v>129</v>
      </c>
    </row>
    <row r="5" spans="1:7" ht="15" customHeight="1" x14ac:dyDescent="0.2">
      <c r="A5" s="13" t="s">
        <v>109</v>
      </c>
      <c r="E5" s="13" t="s">
        <v>30</v>
      </c>
      <c r="F5" s="13" t="s">
        <v>201</v>
      </c>
    </row>
    <row r="6" spans="1:7" ht="15" customHeight="1" x14ac:dyDescent="0.2">
      <c r="A6" s="13" t="s">
        <v>99</v>
      </c>
      <c r="F6" s="13" t="s">
        <v>237</v>
      </c>
    </row>
    <row r="7" spans="1:7" ht="15" customHeight="1" x14ac:dyDescent="0.2">
      <c r="A7" s="13" t="s">
        <v>214</v>
      </c>
      <c r="F7" s="13" t="s">
        <v>39</v>
      </c>
    </row>
    <row r="8" spans="1:7" ht="15" customHeight="1" x14ac:dyDescent="0.2">
      <c r="A8" s="13" t="s">
        <v>227</v>
      </c>
      <c r="F8" t="s">
        <v>45</v>
      </c>
    </row>
    <row r="9" spans="1:7" ht="15" customHeight="1" x14ac:dyDescent="0.2">
      <c r="A9" s="13" t="s">
        <v>247</v>
      </c>
      <c r="F9" t="s">
        <v>281</v>
      </c>
    </row>
    <row r="10" spans="1:7" ht="15" customHeight="1" x14ac:dyDescent="0.2">
      <c r="F10" t="s">
        <v>178</v>
      </c>
    </row>
    <row r="11" spans="1:7" ht="15" customHeight="1" x14ac:dyDescent="0.2">
      <c r="F11" t="s">
        <v>227</v>
      </c>
    </row>
    <row r="12" spans="1:7" ht="15" customHeight="1" x14ac:dyDescent="0.2">
      <c r="A12" s="5" t="s">
        <v>436</v>
      </c>
      <c r="F12" t="s">
        <v>30</v>
      </c>
    </row>
    <row r="14" spans="1:7" ht="15" customHeight="1" x14ac:dyDescent="0.2">
      <c r="F14" t="s">
        <v>437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Компоненты</vt:lpstr>
      <vt:lpstr>Модули</vt:lpstr>
      <vt:lpstr>Отклонено</vt:lpstr>
      <vt:lpstr>Сводка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Михаил Соловцов</cp:lastModifiedBy>
  <cp:revision>0</cp:revision>
  <dcterms:created xsi:type="dcterms:W3CDTF">2026-09-15T10:21:24Z</dcterms:created>
  <dcterms:modified xsi:type="dcterms:W3CDTF">2026-10-19T18:05:44Z</dcterms:modified>
  <dc:language>en-US</dc:language>
</cp:coreProperties>
</file>